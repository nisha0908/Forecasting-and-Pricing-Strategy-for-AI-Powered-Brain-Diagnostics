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dur\Desktop\"/>
    </mc:Choice>
  </mc:AlternateContent>
  <xr:revisionPtr revIDLastSave="0" documentId="13_ncr:1_{85E235D2-2861-40E0-9A01-6B5C1198890B}" xr6:coauthVersionLast="47" xr6:coauthVersionMax="47" xr10:uidLastSave="{00000000-0000-0000-0000-000000000000}"/>
  <bookViews>
    <workbookView xWindow="-110" yWindow="-110" windowWidth="19420" windowHeight="11500" activeTab="2" xr2:uid="{BC1C5870-0A5D-46CB-AE3E-EDFAB67D1467}"/>
  </bookViews>
  <sheets>
    <sheet name="Title Page" sheetId="3" r:id="rId1"/>
    <sheet name="Yearly" sheetId="2" r:id="rId2"/>
    <sheet name="Monthly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2" i="2"/>
  <c r="G2" i="2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2" i="1"/>
  <c r="G2" i="1" s="1"/>
  <c r="E3" i="1"/>
  <c r="K3" i="1" s="1"/>
  <c r="E4" i="1"/>
  <c r="K4" i="1" s="1"/>
  <c r="E5" i="1"/>
  <c r="K5" i="1" s="1"/>
  <c r="E6" i="1"/>
  <c r="K6" i="1" s="1"/>
  <c r="E7" i="1"/>
  <c r="K7" i="1" s="1"/>
  <c r="E8" i="1"/>
  <c r="K8" i="1" s="1"/>
  <c r="E9" i="1"/>
  <c r="K9" i="1" s="1"/>
  <c r="E10" i="1"/>
  <c r="K10" i="1" s="1"/>
  <c r="E11" i="1"/>
  <c r="K11" i="1" s="1"/>
  <c r="E12" i="1"/>
  <c r="K12" i="1" s="1"/>
  <c r="E13" i="1"/>
  <c r="K13" i="1" s="1"/>
  <c r="E14" i="1"/>
  <c r="K14" i="1" s="1"/>
  <c r="E15" i="1"/>
  <c r="K15" i="1" s="1"/>
  <c r="E16" i="1"/>
  <c r="K16" i="1" s="1"/>
  <c r="E17" i="1"/>
  <c r="K17" i="1" s="1"/>
  <c r="E18" i="1"/>
  <c r="K18" i="1" s="1"/>
  <c r="E19" i="1"/>
  <c r="K19" i="1" s="1"/>
  <c r="E20" i="1"/>
  <c r="K20" i="1" s="1"/>
  <c r="E21" i="1"/>
  <c r="K21" i="1" s="1"/>
  <c r="E22" i="1"/>
  <c r="K22" i="1" s="1"/>
  <c r="E23" i="1"/>
  <c r="K23" i="1" s="1"/>
  <c r="E24" i="1"/>
  <c r="K24" i="1" s="1"/>
  <c r="E25" i="1"/>
  <c r="K25" i="1" s="1"/>
  <c r="E26" i="1"/>
  <c r="K26" i="1" s="1"/>
  <c r="E27" i="1"/>
  <c r="K27" i="1" s="1"/>
  <c r="E28" i="1"/>
  <c r="K28" i="1" s="1"/>
  <c r="E29" i="1"/>
  <c r="K29" i="1" s="1"/>
  <c r="E30" i="1"/>
  <c r="K30" i="1" s="1"/>
  <c r="E31" i="1"/>
  <c r="K31" i="1" s="1"/>
  <c r="E32" i="1"/>
  <c r="K32" i="1" s="1"/>
  <c r="E33" i="1"/>
  <c r="K33" i="1" s="1"/>
  <c r="E34" i="1"/>
  <c r="M34" i="1" s="1"/>
  <c r="E35" i="1"/>
  <c r="K35" i="1" s="1"/>
  <c r="E36" i="1"/>
  <c r="K36" i="1" s="1"/>
  <c r="E37" i="1"/>
  <c r="K37" i="1" s="1"/>
  <c r="E38" i="1"/>
  <c r="K38" i="1" s="1"/>
  <c r="E39" i="1"/>
  <c r="K39" i="1" s="1"/>
  <c r="E40" i="1"/>
  <c r="K40" i="1" s="1"/>
  <c r="E41" i="1"/>
  <c r="K41" i="1" s="1"/>
  <c r="E42" i="1"/>
  <c r="K42" i="1" s="1"/>
  <c r="E43" i="1"/>
  <c r="K43" i="1" s="1"/>
  <c r="E44" i="1"/>
  <c r="K44" i="1" s="1"/>
  <c r="E45" i="1"/>
  <c r="K45" i="1" s="1"/>
  <c r="E46" i="1"/>
  <c r="K46" i="1" s="1"/>
  <c r="E47" i="1"/>
  <c r="K47" i="1" s="1"/>
  <c r="E48" i="1"/>
  <c r="K48" i="1" s="1"/>
  <c r="E49" i="1"/>
  <c r="M49" i="1" s="1"/>
  <c r="E50" i="1"/>
  <c r="K50" i="1" s="1"/>
  <c r="E51" i="1"/>
  <c r="K51" i="1" s="1"/>
  <c r="E52" i="1"/>
  <c r="K52" i="1" s="1"/>
  <c r="E53" i="1"/>
  <c r="K53" i="1" s="1"/>
  <c r="E54" i="1"/>
  <c r="K54" i="1" s="1"/>
  <c r="E55" i="1"/>
  <c r="K55" i="1" s="1"/>
  <c r="E56" i="1"/>
  <c r="K56" i="1" s="1"/>
  <c r="E57" i="1"/>
  <c r="K57" i="1" s="1"/>
  <c r="E58" i="1"/>
  <c r="K58" i="1" s="1"/>
  <c r="E59" i="1"/>
  <c r="K59" i="1" s="1"/>
  <c r="E60" i="1"/>
  <c r="K60" i="1" s="1"/>
  <c r="E61" i="1"/>
  <c r="K61" i="1" s="1"/>
  <c r="E62" i="1"/>
  <c r="K62" i="1" s="1"/>
  <c r="E63" i="1"/>
  <c r="K63" i="1" s="1"/>
  <c r="E64" i="1"/>
  <c r="K64" i="1" s="1"/>
  <c r="E65" i="1"/>
  <c r="K65" i="1" s="1"/>
  <c r="E66" i="1"/>
  <c r="M66" i="1" s="1"/>
  <c r="E67" i="1"/>
  <c r="K67" i="1" s="1"/>
  <c r="E68" i="1"/>
  <c r="K68" i="1" s="1"/>
  <c r="E69" i="1"/>
  <c r="K69" i="1" s="1"/>
  <c r="E70" i="1"/>
  <c r="K70" i="1" s="1"/>
  <c r="E71" i="1"/>
  <c r="K71" i="1" s="1"/>
  <c r="E72" i="1"/>
  <c r="K72" i="1" s="1"/>
  <c r="E73" i="1"/>
  <c r="K73" i="1" s="1"/>
  <c r="E74" i="1"/>
  <c r="K74" i="1" s="1"/>
  <c r="E75" i="1"/>
  <c r="K75" i="1" s="1"/>
  <c r="E76" i="1"/>
  <c r="K76" i="1" s="1"/>
  <c r="E77" i="1"/>
  <c r="K77" i="1" s="1"/>
  <c r="E78" i="1"/>
  <c r="K78" i="1" s="1"/>
  <c r="E79" i="1"/>
  <c r="M79" i="1" s="1"/>
  <c r="E80" i="1"/>
  <c r="K80" i="1" s="1"/>
  <c r="E81" i="1"/>
  <c r="K81" i="1" s="1"/>
  <c r="E82" i="1"/>
  <c r="K82" i="1" s="1"/>
  <c r="E83" i="1"/>
  <c r="K83" i="1" s="1"/>
  <c r="E84" i="1"/>
  <c r="K84" i="1" s="1"/>
  <c r="E85" i="1"/>
  <c r="K85" i="1" s="1"/>
  <c r="E86" i="1"/>
  <c r="K86" i="1" s="1"/>
  <c r="E87" i="1"/>
  <c r="K87" i="1" s="1"/>
  <c r="E88" i="1"/>
  <c r="K88" i="1" s="1"/>
  <c r="E89" i="1"/>
  <c r="K89" i="1" s="1"/>
  <c r="E90" i="1"/>
  <c r="K90" i="1" s="1"/>
  <c r="E91" i="1"/>
  <c r="K91" i="1" s="1"/>
  <c r="E92" i="1"/>
  <c r="K92" i="1" s="1"/>
  <c r="E93" i="1"/>
  <c r="K93" i="1" s="1"/>
  <c r="E94" i="1"/>
  <c r="K94" i="1" s="1"/>
  <c r="E95" i="1"/>
  <c r="K95" i="1" s="1"/>
  <c r="E96" i="1"/>
  <c r="K96" i="1" s="1"/>
  <c r="E97" i="1"/>
  <c r="K97" i="1" s="1"/>
  <c r="E98" i="1"/>
  <c r="M98" i="1" s="1"/>
  <c r="E99" i="1"/>
  <c r="K99" i="1" s="1"/>
  <c r="E100" i="1"/>
  <c r="K100" i="1" s="1"/>
  <c r="E101" i="1"/>
  <c r="K101" i="1" s="1"/>
  <c r="E102" i="1"/>
  <c r="K102" i="1" s="1"/>
  <c r="E103" i="1"/>
  <c r="K103" i="1" s="1"/>
  <c r="E104" i="1"/>
  <c r="K104" i="1" s="1"/>
  <c r="E105" i="1"/>
  <c r="K105" i="1" s="1"/>
  <c r="E106" i="1"/>
  <c r="K106" i="1" s="1"/>
  <c r="E107" i="1"/>
  <c r="K107" i="1" s="1"/>
  <c r="E108" i="1"/>
  <c r="K108" i="1" s="1"/>
  <c r="E109" i="1"/>
  <c r="K109" i="1" s="1"/>
  <c r="E110" i="1"/>
  <c r="K110" i="1" s="1"/>
  <c r="E111" i="1"/>
  <c r="K111" i="1" s="1"/>
  <c r="E112" i="1"/>
  <c r="K112" i="1" s="1"/>
  <c r="E113" i="1"/>
  <c r="K113" i="1" s="1"/>
  <c r="E114" i="1"/>
  <c r="K114" i="1" s="1"/>
  <c r="E115" i="1"/>
  <c r="K115" i="1" s="1"/>
  <c r="E116" i="1"/>
  <c r="K116" i="1" s="1"/>
  <c r="E117" i="1"/>
  <c r="K117" i="1" s="1"/>
  <c r="E118" i="1"/>
  <c r="K118" i="1" s="1"/>
  <c r="E119" i="1"/>
  <c r="K119" i="1" s="1"/>
  <c r="E120" i="1"/>
  <c r="K120" i="1" s="1"/>
  <c r="E121" i="1"/>
  <c r="K121" i="1" s="1"/>
  <c r="E2" i="1"/>
  <c r="K2" i="1" s="1"/>
  <c r="K79" i="1" l="1"/>
  <c r="N79" i="1" s="1"/>
  <c r="M95" i="1"/>
  <c r="N95" i="1" s="1"/>
  <c r="K66" i="1"/>
  <c r="N66" i="1" s="1"/>
  <c r="M94" i="1"/>
  <c r="N94" i="1" s="1"/>
  <c r="M64" i="1"/>
  <c r="N64" i="1" s="1"/>
  <c r="M80" i="1"/>
  <c r="N80" i="1" s="1"/>
  <c r="M63" i="1"/>
  <c r="N63" i="1" s="1"/>
  <c r="M31" i="1"/>
  <c r="N31" i="1" s="1"/>
  <c r="M15" i="1"/>
  <c r="N15" i="1" s="1"/>
  <c r="M78" i="1"/>
  <c r="N78" i="1" s="1"/>
  <c r="M62" i="1"/>
  <c r="N62" i="1" s="1"/>
  <c r="M46" i="1"/>
  <c r="N46" i="1" s="1"/>
  <c r="M30" i="1"/>
  <c r="N30" i="1" s="1"/>
  <c r="M14" i="1"/>
  <c r="N14" i="1" s="1"/>
  <c r="K49" i="1"/>
  <c r="N49" i="1" s="1"/>
  <c r="M109" i="1"/>
  <c r="N109" i="1" s="1"/>
  <c r="M93" i="1"/>
  <c r="N93" i="1" s="1"/>
  <c r="M77" i="1"/>
  <c r="N77" i="1" s="1"/>
  <c r="M61" i="1"/>
  <c r="N61" i="1" s="1"/>
  <c r="M45" i="1"/>
  <c r="N45" i="1" s="1"/>
  <c r="M29" i="1"/>
  <c r="N29" i="1" s="1"/>
  <c r="M13" i="1"/>
  <c r="N13" i="1" s="1"/>
  <c r="M16" i="1"/>
  <c r="N16" i="1" s="1"/>
  <c r="M110" i="1"/>
  <c r="N110" i="1" s="1"/>
  <c r="M108" i="1"/>
  <c r="N108" i="1" s="1"/>
  <c r="M92" i="1"/>
  <c r="N92" i="1" s="1"/>
  <c r="M76" i="1"/>
  <c r="N76" i="1" s="1"/>
  <c r="M60" i="1"/>
  <c r="N60" i="1" s="1"/>
  <c r="M44" i="1"/>
  <c r="N44" i="1" s="1"/>
  <c r="M28" i="1"/>
  <c r="N28" i="1" s="1"/>
  <c r="M12" i="1"/>
  <c r="N12" i="1" s="1"/>
  <c r="M97" i="1"/>
  <c r="N97" i="1" s="1"/>
  <c r="K34" i="1"/>
  <c r="N34" i="1" s="1"/>
  <c r="M107" i="1"/>
  <c r="N107" i="1" s="1"/>
  <c r="M91" i="1"/>
  <c r="N91" i="1" s="1"/>
  <c r="M75" i="1"/>
  <c r="N75" i="1" s="1"/>
  <c r="M59" i="1"/>
  <c r="N59" i="1" s="1"/>
  <c r="M43" i="1"/>
  <c r="N43" i="1" s="1"/>
  <c r="M27" i="1"/>
  <c r="N27" i="1" s="1"/>
  <c r="M11" i="1"/>
  <c r="N11" i="1" s="1"/>
  <c r="M112" i="1"/>
  <c r="N112" i="1" s="1"/>
  <c r="M2" i="1"/>
  <c r="N2" i="1" s="1"/>
  <c r="M106" i="1"/>
  <c r="N106" i="1" s="1"/>
  <c r="M90" i="1"/>
  <c r="N90" i="1" s="1"/>
  <c r="M74" i="1"/>
  <c r="N74" i="1" s="1"/>
  <c r="M58" i="1"/>
  <c r="N58" i="1" s="1"/>
  <c r="M42" i="1"/>
  <c r="N42" i="1" s="1"/>
  <c r="M26" i="1"/>
  <c r="N26" i="1" s="1"/>
  <c r="M10" i="1"/>
  <c r="N10" i="1" s="1"/>
  <c r="M65" i="1"/>
  <c r="N65" i="1" s="1"/>
  <c r="M32" i="1"/>
  <c r="N32" i="1" s="1"/>
  <c r="M121" i="1"/>
  <c r="N121" i="1" s="1"/>
  <c r="M105" i="1"/>
  <c r="N105" i="1" s="1"/>
  <c r="M89" i="1"/>
  <c r="N89" i="1" s="1"/>
  <c r="M73" i="1"/>
  <c r="N73" i="1" s="1"/>
  <c r="M57" i="1"/>
  <c r="N57" i="1" s="1"/>
  <c r="M41" i="1"/>
  <c r="N41" i="1" s="1"/>
  <c r="M25" i="1"/>
  <c r="N25" i="1" s="1"/>
  <c r="M9" i="1"/>
  <c r="N9" i="1" s="1"/>
  <c r="M120" i="1"/>
  <c r="N120" i="1" s="1"/>
  <c r="M104" i="1"/>
  <c r="N104" i="1" s="1"/>
  <c r="M88" i="1"/>
  <c r="N88" i="1" s="1"/>
  <c r="M72" i="1"/>
  <c r="N72" i="1" s="1"/>
  <c r="M56" i="1"/>
  <c r="N56" i="1" s="1"/>
  <c r="M40" i="1"/>
  <c r="N40" i="1" s="1"/>
  <c r="M24" i="1"/>
  <c r="N24" i="1" s="1"/>
  <c r="M8" i="1"/>
  <c r="N8" i="1" s="1"/>
  <c r="M81" i="1"/>
  <c r="N81" i="1" s="1"/>
  <c r="M119" i="1"/>
  <c r="N119" i="1" s="1"/>
  <c r="M103" i="1"/>
  <c r="N103" i="1" s="1"/>
  <c r="M87" i="1"/>
  <c r="N87" i="1" s="1"/>
  <c r="M71" i="1"/>
  <c r="N71" i="1" s="1"/>
  <c r="M55" i="1"/>
  <c r="N55" i="1" s="1"/>
  <c r="M39" i="1"/>
  <c r="N39" i="1" s="1"/>
  <c r="M23" i="1"/>
  <c r="N23" i="1" s="1"/>
  <c r="M7" i="1"/>
  <c r="N7" i="1" s="1"/>
  <c r="M33" i="1"/>
  <c r="N33" i="1" s="1"/>
  <c r="M96" i="1"/>
  <c r="N96" i="1" s="1"/>
  <c r="M118" i="1"/>
  <c r="N118" i="1" s="1"/>
  <c r="M102" i="1"/>
  <c r="N102" i="1" s="1"/>
  <c r="M86" i="1"/>
  <c r="N86" i="1" s="1"/>
  <c r="M70" i="1"/>
  <c r="N70" i="1" s="1"/>
  <c r="M54" i="1"/>
  <c r="N54" i="1" s="1"/>
  <c r="M38" i="1"/>
  <c r="N38" i="1" s="1"/>
  <c r="M22" i="1"/>
  <c r="N22" i="1" s="1"/>
  <c r="M6" i="1"/>
  <c r="N6" i="1" s="1"/>
  <c r="M17" i="1"/>
  <c r="N17" i="1" s="1"/>
  <c r="M47" i="1"/>
  <c r="N47" i="1" s="1"/>
  <c r="M117" i="1"/>
  <c r="N117" i="1" s="1"/>
  <c r="M101" i="1"/>
  <c r="N101" i="1" s="1"/>
  <c r="M85" i="1"/>
  <c r="N85" i="1" s="1"/>
  <c r="M69" i="1"/>
  <c r="N69" i="1" s="1"/>
  <c r="M53" i="1"/>
  <c r="N53" i="1" s="1"/>
  <c r="M37" i="1"/>
  <c r="N37" i="1" s="1"/>
  <c r="M21" i="1"/>
  <c r="N21" i="1" s="1"/>
  <c r="M5" i="1"/>
  <c r="N5" i="1" s="1"/>
  <c r="M111" i="1"/>
  <c r="N111" i="1" s="1"/>
  <c r="M116" i="1"/>
  <c r="N116" i="1" s="1"/>
  <c r="M100" i="1"/>
  <c r="N100" i="1" s="1"/>
  <c r="M84" i="1"/>
  <c r="N84" i="1" s="1"/>
  <c r="M68" i="1"/>
  <c r="N68" i="1" s="1"/>
  <c r="M52" i="1"/>
  <c r="N52" i="1" s="1"/>
  <c r="M36" i="1"/>
  <c r="N36" i="1" s="1"/>
  <c r="M20" i="1"/>
  <c r="N20" i="1" s="1"/>
  <c r="M4" i="1"/>
  <c r="N4" i="1" s="1"/>
  <c r="M113" i="1"/>
  <c r="N113" i="1" s="1"/>
  <c r="M48" i="1"/>
  <c r="N48" i="1" s="1"/>
  <c r="M115" i="1"/>
  <c r="N115" i="1" s="1"/>
  <c r="M99" i="1"/>
  <c r="N99" i="1" s="1"/>
  <c r="M83" i="1"/>
  <c r="N83" i="1" s="1"/>
  <c r="M67" i="1"/>
  <c r="N67" i="1" s="1"/>
  <c r="M51" i="1"/>
  <c r="N51" i="1" s="1"/>
  <c r="M35" i="1"/>
  <c r="N35" i="1" s="1"/>
  <c r="M19" i="1"/>
  <c r="N19" i="1" s="1"/>
  <c r="M3" i="1"/>
  <c r="N3" i="1" s="1"/>
  <c r="K98" i="1"/>
  <c r="N98" i="1" s="1"/>
  <c r="M114" i="1"/>
  <c r="N114" i="1" s="1"/>
  <c r="M82" i="1"/>
  <c r="N82" i="1" s="1"/>
  <c r="M50" i="1"/>
  <c r="N50" i="1" s="1"/>
  <c r="M18" i="1"/>
  <c r="N18" i="1" s="1"/>
  <c r="E3" i="2"/>
  <c r="E4" i="2"/>
  <c r="E5" i="2"/>
  <c r="E6" i="2"/>
  <c r="E7" i="2"/>
  <c r="E8" i="2"/>
  <c r="E9" i="2"/>
  <c r="E10" i="2"/>
  <c r="E11" i="2"/>
  <c r="E2" i="2"/>
  <c r="I3" i="2"/>
  <c r="I4" i="2"/>
  <c r="I5" i="2"/>
  <c r="I6" i="2"/>
  <c r="I7" i="2"/>
  <c r="I8" i="2"/>
  <c r="I9" i="2"/>
  <c r="I10" i="2"/>
  <c r="I11" i="2"/>
  <c r="I2" i="2"/>
  <c r="K10" i="2" l="1"/>
  <c r="M10" i="2"/>
  <c r="K9" i="2"/>
  <c r="M9" i="2"/>
  <c r="K8" i="2"/>
  <c r="M8" i="2"/>
  <c r="K7" i="2"/>
  <c r="M7" i="2"/>
  <c r="K6" i="2"/>
  <c r="M6" i="2"/>
  <c r="K5" i="2"/>
  <c r="M5" i="2"/>
  <c r="K4" i="2"/>
  <c r="M4" i="2"/>
  <c r="K3" i="2"/>
  <c r="M3" i="2"/>
  <c r="K11" i="2"/>
  <c r="M11" i="2"/>
  <c r="K2" i="2"/>
  <c r="M2" i="2"/>
  <c r="N8" i="2" l="1"/>
  <c r="N4" i="2"/>
  <c r="N6" i="2"/>
  <c r="N7" i="2"/>
  <c r="N10" i="2"/>
  <c r="N5" i="2"/>
  <c r="N3" i="2"/>
  <c r="N2" i="2"/>
  <c r="N9" i="2"/>
  <c r="N11" i="2"/>
</calcChain>
</file>

<file path=xl/sharedStrings.xml><?xml version="1.0" encoding="utf-8"?>
<sst xmlns="http://schemas.openxmlformats.org/spreadsheetml/2006/main" count="68" uniqueCount="57">
  <si>
    <t>Date</t>
  </si>
  <si>
    <t>Year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</si>
  <si>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</si>
  <si>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</si>
  <si>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</si>
  <si>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</si>
  <si>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</si>
  <si>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</si>
  <si>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</si>
  <si>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</si>
  <si>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</si>
  <si>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</si>
  <si>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Clinical Radiologists</t>
  </si>
  <si>
    <t>Brain Scan per Radiologist (Monthly)</t>
  </si>
  <si>
    <t>Brain Scan per Radiologist (Annual)</t>
  </si>
  <si>
    <t>England Population</t>
  </si>
  <si>
    <t>Brain Patients Waiting List</t>
  </si>
  <si>
    <t>MRI 6+ Week Waiter</t>
  </si>
  <si>
    <t>MRI  Scans (NHS)</t>
  </si>
  <si>
    <t>MRI Brain %</t>
  </si>
  <si>
    <t>Patient Waiting List (MRI)</t>
  </si>
  <si>
    <t>Brain 6+ Week Waiters</t>
  </si>
  <si>
    <t>% Waiting 6+ weeks</t>
  </si>
  <si>
    <t>Total Brain Scans</t>
  </si>
  <si>
    <t>Private Brain Scans</t>
  </si>
  <si>
    <t>Dementia Patients</t>
  </si>
  <si>
    <t>Brain Tumor Incidence Rate</t>
  </si>
  <si>
    <t>10-Year Monthly Market Dataset For QP-Brain – England</t>
  </si>
  <si>
    <t>(April 2015 – March 2025)</t>
  </si>
  <si>
    <t>Description</t>
  </si>
  <si>
    <t>This workbook contains the manually constructed time series dataset used for national-level trend analysis, market sizing, and demand forecasting for MRI brain scans in England.</t>
  </si>
  <si>
    <t>Table</t>
  </si>
  <si>
    <t>1. Yearly sheet – 2015/16 to 2024/25</t>
  </si>
  <si>
    <t>2. Monthly sheet – Apr 2015 to Mar 2025</t>
  </si>
  <si>
    <t>Data Sources</t>
  </si>
  <si>
    <r>
      <t xml:space="preserve">Office for National Statistics (ONS) – </t>
    </r>
    <r>
      <rPr>
        <i/>
        <sz val="11"/>
        <color theme="1"/>
        <rFont val="Aptos Narrow"/>
        <family val="2"/>
        <scheme val="minor"/>
      </rPr>
      <t>Population Estimates</t>
    </r>
  </si>
  <si>
    <t>https://www.ons.gov.uk/peoplepopulationandcommunity/populationandmigration/populationestimates/datasets/estimatesofthepopulationforenglandandwales</t>
  </si>
  <si>
    <r>
      <t xml:space="preserve">NHS Diagnostic Imaging Dataset (DID) – </t>
    </r>
    <r>
      <rPr>
        <i/>
        <sz val="11"/>
        <color theme="1"/>
        <rFont val="Aptos Narrow"/>
        <family val="2"/>
        <scheme val="minor"/>
      </rPr>
      <t>Modality and Body Site</t>
    </r>
  </si>
  <si>
    <t>https://www.england.nhs.uk/statistics/statistical-work-areas/diagnostic-imaging-dataset/</t>
  </si>
  <si>
    <t>NHS Monthly Diagnostics Waiting Times and Activity (DWTA)</t>
  </si>
  <si>
    <t>https://www.england.nhs.uk/statistics/statistical-work-areas/diagnostics-waiting-times-and-activity/monthly-diagnostics-waiting-times-and-activity/</t>
  </si>
  <si>
    <r>
      <t xml:space="preserve">NHS Workforce Statistics – </t>
    </r>
    <r>
      <rPr>
        <i/>
        <sz val="11"/>
        <color theme="1"/>
        <rFont val="Aptos Narrow"/>
        <family val="2"/>
        <scheme val="minor"/>
      </rPr>
      <t>Doctors by Grade &amp; Specialty</t>
    </r>
    <r>
      <rPr>
        <sz val="11"/>
        <color theme="1"/>
        <rFont val="Aptos Narrow"/>
        <family val="2"/>
        <scheme val="minor"/>
      </rPr>
      <t xml:space="preserve">; </t>
    </r>
    <r>
      <rPr>
        <i/>
        <sz val="11"/>
        <color theme="1"/>
        <rFont val="Aptos Narrow"/>
        <family val="2"/>
        <scheme val="minor"/>
      </rPr>
      <t>HCHS Staff by Organisation</t>
    </r>
  </si>
  <si>
    <t>https://digital.nhs.uk/data-and-information/publications/statistical/nhs-workforce-statistics</t>
  </si>
  <si>
    <t>LaingBuisson UK Diagnostics Market Report (2025)</t>
  </si>
  <si>
    <t>https://go.laingbuisson.com/diagnostics-report-3</t>
  </si>
  <si>
    <t>NHS Recorded Dementia Diagnoses and Primary Care Dementia Data Series</t>
  </si>
  <si>
    <t>https://digital.nhs.uk/data-and-information/publications/statistical/primary-care-dementia-data</t>
  </si>
  <si>
    <r>
      <t xml:space="preserve">Cancer Research UK – </t>
    </r>
    <r>
      <rPr>
        <i/>
        <sz val="11"/>
        <color theme="1"/>
        <rFont val="Aptos Narrow"/>
        <family val="2"/>
        <scheme val="minor"/>
      </rPr>
      <t>Brain Tumour Incidence Rates</t>
    </r>
  </si>
  <si>
    <t>https://www.cancerresearchuk.org/health-professional/cancer-statistics/statistics-by-cancer-type/brain-other-cns-and-intracranial-tumours/incidence#heading-Two</t>
  </si>
  <si>
    <t>Notes &amp; Assumptions</t>
  </si>
  <si>
    <t>Mid-2024 population estimated at 2023 × 1.012 (ONS growth rate).</t>
  </si>
  <si>
    <t>Brain tumour incidence for 2020–2025 forecasted using linear regression.</t>
  </si>
  <si>
    <t>Private brain scan volumes estimated at 5.8% of NHS MRI Brain volumes based on 2024 ratio (LaingBuisson).</t>
  </si>
  <si>
    <t>MRI Brain Scans (NHS)</t>
  </si>
  <si>
    <t>Clinical Radiologists (NHS)</t>
  </si>
  <si>
    <t>MRI 6+ Week Waiters</t>
  </si>
  <si>
    <t>MRI Scans (NHS)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</si>
</sst>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0.0%"/>
  </numFmts>
  <fonts count="3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u/>
      <sz val="10"/>
      <color indexed="30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u/>
      <sz val="12"/>
      <color rgb="FF004488"/>
      <name val="Arial"/>
      <family val="2"/>
    </font>
    <font>
      <sz val="12"/>
      <color indexed="8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2"/>
      <name val="Arial"/>
      <family val="2"/>
    </font>
    <font>
      <sz val="16"/>
      <color theme="4"/>
      <name val="Aptos Display"/>
      <family val="2"/>
      <scheme val="major"/>
    </font>
    <font>
      <sz val="16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7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ill="0" applyProtection="0"/>
    <xf numFmtId="0" fontId="1" fillId="0" borderId="0"/>
    <xf numFmtId="43" fontId="2" fillId="0" borderId="0"/>
    <xf numFmtId="43" fontId="2" fillId="0" borderId="0"/>
    <xf numFmtId="0" fontId="8" fillId="0" borderId="0"/>
    <xf numFmtId="0" fontId="2" fillId="0" borderId="0"/>
    <xf numFmtId="0" fontId="3" fillId="0" borderId="0"/>
    <xf numFmtId="0" fontId="3" fillId="0" borderId="0"/>
    <xf numFmtId="0" fontId="2" fillId="0" borderId="0"/>
    <xf numFmtId="9" fontId="2" fillId="0" borderId="0"/>
    <xf numFmtId="9" fontId="3" fillId="0" borderId="0"/>
    <xf numFmtId="9" fontId="1" fillId="0" borderId="0"/>
    <xf numFmtId="9" fontId="3" fillId="0" borderId="0"/>
    <xf numFmtId="9" fontId="2" fillId="0" borderId="0"/>
    <xf numFmtId="9" fontId="9" fillId="0" borderId="0"/>
    <xf numFmtId="0" fontId="7" fillId="0" borderId="0">
      <alignment vertical="top"/>
      <protection locked="0"/>
    </xf>
    <xf numFmtId="0" fontId="10" fillId="0" borderId="0"/>
    <xf numFmtId="0" fontId="11" fillId="11" borderId="24"/>
    <xf numFmtId="0" fontId="11" fillId="36" borderId="26"/>
    <xf numFmtId="43" fontId="1" fillId="0" borderId="0"/>
    <xf numFmtId="0" fontId="27" fillId="0" borderId="0"/>
    <xf numFmtId="0" fontId="2" fillId="0" borderId="0"/>
    <xf numFmtId="0" fontId="3" fillId="0" borderId="0"/>
    <xf numFmtId="0" fontId="12" fillId="0" borderId="17"/>
    <xf numFmtId="0" fontId="13" fillId="0" borderId="18"/>
    <xf numFmtId="0" fontId="14" fillId="0" borderId="19"/>
    <xf numFmtId="0" fontId="14" fillId="0" borderId="0"/>
    <xf numFmtId="0" fontId="15" fillId="5" borderId="0"/>
    <xf numFmtId="0" fontId="16" fillId="6" borderId="0"/>
    <xf numFmtId="0" fontId="17" fillId="7" borderId="0"/>
    <xf numFmtId="0" fontId="18" fillId="8" borderId="20"/>
    <xf numFmtId="0" fontId="19" fillId="9" borderId="21"/>
    <xf numFmtId="0" fontId="20" fillId="9" borderId="20"/>
    <xf numFmtId="0" fontId="21" fillId="0" borderId="22"/>
    <xf numFmtId="0" fontId="4" fillId="10" borderId="23"/>
    <xf numFmtId="0" fontId="22" fillId="0" borderId="0"/>
    <xf numFmtId="0" fontId="23" fillId="0" borderId="0"/>
    <xf numFmtId="0" fontId="24" fillId="0" borderId="25"/>
    <xf numFmtId="0" fontId="25" fillId="12" borderId="0"/>
    <xf numFmtId="0" fontId="3" fillId="13" borderId="0"/>
    <xf numFmtId="0" fontId="3" fillId="14" borderId="0"/>
    <xf numFmtId="0" fontId="25" fillId="15" borderId="0"/>
    <xf numFmtId="0" fontId="25" fillId="16" borderId="0"/>
    <xf numFmtId="0" fontId="3" fillId="17" borderId="0"/>
    <xf numFmtId="0" fontId="3" fillId="18" borderId="0"/>
    <xf numFmtId="0" fontId="25" fillId="19" borderId="0"/>
    <xf numFmtId="0" fontId="25" fillId="20" borderId="0"/>
    <xf numFmtId="0" fontId="3" fillId="21" borderId="0"/>
    <xf numFmtId="0" fontId="3" fillId="22" borderId="0"/>
    <xf numFmtId="0" fontId="25" fillId="23" borderId="0"/>
    <xf numFmtId="0" fontId="25" fillId="24" borderId="0"/>
    <xf numFmtId="0" fontId="3" fillId="25" borderId="0"/>
    <xf numFmtId="0" fontId="3" fillId="26" borderId="0"/>
    <xf numFmtId="0" fontId="25" fillId="27" borderId="0"/>
    <xf numFmtId="0" fontId="25" fillId="28" borderId="0"/>
    <xf numFmtId="0" fontId="3" fillId="29" borderId="0"/>
    <xf numFmtId="0" fontId="3" fillId="30" borderId="0"/>
    <xf numFmtId="0" fontId="25" fillId="31" borderId="0"/>
    <xf numFmtId="0" fontId="25" fillId="32" borderId="0"/>
    <xf numFmtId="0" fontId="3" fillId="33" borderId="0"/>
    <xf numFmtId="0" fontId="3" fillId="34" borderId="0"/>
    <xf numFmtId="0" fontId="25" fillId="35" borderId="0"/>
    <xf numFmtId="0" fontId="3" fillId="0" borderId="0"/>
    <xf numFmtId="0" fontId="3" fillId="11" borderId="24"/>
    <xf numFmtId="0" fontId="6" fillId="0" borderId="0"/>
    <xf numFmtId="0" fontId="1" fillId="0" borderId="0"/>
    <xf numFmtId="9" fontId="1" fillId="0" borderId="0"/>
    <xf numFmtId="0" fontId="26" fillId="0" borderId="0"/>
    <xf numFmtId="0" fontId="1" fillId="0" borderId="0"/>
    <xf numFmtId="0" fontId="26" fillId="0" borderId="0"/>
    <xf numFmtId="43" fontId="1" fillId="0" borderId="0"/>
    <xf numFmtId="0" fontId="3" fillId="0" borderId="0"/>
    <xf numFmtId="0" fontId="26" fillId="0" borderId="0"/>
    <xf numFmtId="43" fontId="2" fillId="0" borderId="0"/>
    <xf numFmtId="43" fontId="2" fillId="0" borderId="0"/>
    <xf numFmtId="9" fontId="3" fillId="0" borderId="0"/>
    <xf numFmtId="9" fontId="1" fillId="0" borderId="0"/>
    <xf numFmtId="9" fontId="3" fillId="0" borderId="0"/>
    <xf numFmtId="43" fontId="1" fillId="0" borderId="0"/>
    <xf numFmtId="0" fontId="3" fillId="0" borderId="0"/>
    <xf numFmtId="0" fontId="3" fillId="13" borderId="0"/>
    <xf numFmtId="0" fontId="3" fillId="14" borderId="0"/>
    <xf numFmtId="0" fontId="3" fillId="17" borderId="0"/>
    <xf numFmtId="0" fontId="3" fillId="18" borderId="0"/>
    <xf numFmtId="0" fontId="3" fillId="21" borderId="0"/>
    <xf numFmtId="0" fontId="3" fillId="22" borderId="0"/>
    <xf numFmtId="0" fontId="3" fillId="25" borderId="0"/>
    <xf numFmtId="0" fontId="3" fillId="26" borderId="0"/>
    <xf numFmtId="0" fontId="3" fillId="29" borderId="0"/>
    <xf numFmtId="0" fontId="3" fillId="30" borderId="0"/>
    <xf numFmtId="0" fontId="3" fillId="33" borderId="0"/>
    <xf numFmtId="0" fontId="3" fillId="34" borderId="0"/>
    <xf numFmtId="0" fontId="3" fillId="0" borderId="0"/>
    <xf numFmtId="0" fontId="3" fillId="11" borderId="24"/>
    <xf numFmtId="0" fontId="6" fillId="0" borderId="0"/>
    <xf numFmtId="0" fontId="1" fillId="0" borderId="0"/>
    <xf numFmtId="43" fontId="1" fillId="0" borderId="0"/>
    <xf numFmtId="43" fontId="2" fillId="0" borderId="0"/>
    <xf numFmtId="43" fontId="2" fillId="0" borderId="0"/>
    <xf numFmtId="43" fontId="1" fillId="0" borderId="0"/>
    <xf numFmtId="0" fontId="6" fillId="0" borderId="0"/>
    <xf numFmtId="43" fontId="1" fillId="0" borderId="0"/>
    <xf numFmtId="43" fontId="2" fillId="0" borderId="0"/>
    <xf numFmtId="43" fontId="2" fillId="0" borderId="0"/>
    <xf numFmtId="43" fontId="1" fillId="0" borderId="0"/>
    <xf numFmtId="0" fontId="6" fillId="0" borderId="0"/>
    <xf numFmtId="43" fontId="1" fillId="0" borderId="0"/>
    <xf numFmtId="0" fontId="27" fillId="0" borderId="0" applyNumberFormat="0" applyFill="0" applyBorder="0" applyAlignment="0" applyProtection="0"/>
    <xf numFmtId="0" fontId="18" fillId="8" borderId="20" applyNumberFormat="0" applyAlignment="0" applyProtection="0"/>
    <xf numFmtId="9" fontId="2" fillId="0" borderId="0" applyFont="0" applyFill="0" applyBorder="0" applyAlignment="0" applyProtection="0"/>
    <xf numFmtId="0" fontId="3" fillId="25" borderId="0" applyNumberFormat="0" applyBorder="0" applyAlignment="0" applyProtection="0"/>
    <xf numFmtId="0" fontId="14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11" fillId="11" borderId="24" applyNumberFormat="0" applyFont="0" applyAlignment="0" applyProtection="0"/>
    <xf numFmtId="0" fontId="3" fillId="18" borderId="0" applyNumberFormat="0" applyBorder="0" applyAlignment="0" applyProtection="0"/>
    <xf numFmtId="0" fontId="24" fillId="0" borderId="25" applyNumberFormat="0" applyFill="0" applyAlignment="0" applyProtection="0"/>
    <xf numFmtId="0" fontId="3" fillId="34" borderId="0" applyNumberFormat="0" applyBorder="0" applyAlignment="0" applyProtection="0"/>
    <xf numFmtId="9" fontId="3" fillId="0" borderId="0" applyFont="0" applyFill="0" applyBorder="0" applyAlignment="0" applyProtection="0"/>
    <xf numFmtId="0" fontId="25" fillId="31" borderId="0" applyNumberFormat="0" applyBorder="0" applyAlignment="0" applyProtection="0"/>
    <xf numFmtId="0" fontId="19" fillId="9" borderId="21" applyNumberFormat="0" applyAlignment="0" applyProtection="0"/>
    <xf numFmtId="0" fontId="3" fillId="33" borderId="0" applyNumberFormat="0" applyBorder="0" applyAlignment="0" applyProtection="0"/>
    <xf numFmtId="0" fontId="28" fillId="0" borderId="0" applyNumberFormat="0" applyFill="0" applyBorder="0" applyAlignment="0" applyProtection="0"/>
    <xf numFmtId="0" fontId="25" fillId="16" borderId="0" applyNumberFormat="0" applyBorder="0" applyAlignment="0" applyProtection="0"/>
    <xf numFmtId="0" fontId="3" fillId="30" borderId="0" applyNumberFormat="0" applyBorder="0" applyAlignment="0" applyProtection="0"/>
    <xf numFmtId="9" fontId="9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3" fillId="11" borderId="24" applyNumberFormat="0" applyFont="0" applyAlignment="0" applyProtection="0"/>
    <xf numFmtId="0" fontId="21" fillId="0" borderId="22" applyNumberFormat="0" applyFill="0" applyAlignment="0" applyProtection="0"/>
    <xf numFmtId="0" fontId="3" fillId="21" borderId="0" applyNumberFormat="0" applyBorder="0" applyAlignment="0" applyProtection="0"/>
    <xf numFmtId="0" fontId="23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3" fillId="0" borderId="18" applyNumberFormat="0" applyFill="0" applyAlignment="0" applyProtection="0"/>
    <xf numFmtId="0" fontId="3" fillId="26" borderId="0" applyNumberFormat="0" applyBorder="0" applyAlignment="0" applyProtection="0"/>
    <xf numFmtId="0" fontId="4" fillId="10" borderId="23" applyNumberFormat="0" applyAlignment="0" applyProtection="0"/>
    <xf numFmtId="43" fontId="1" fillId="0" borderId="0" applyFont="0" applyFill="0" applyBorder="0" applyAlignment="0" applyProtection="0"/>
    <xf numFmtId="0" fontId="11" fillId="36" borderId="26" applyNumberFormat="0" applyFont="0" applyAlignment="0" applyProtection="0"/>
    <xf numFmtId="0" fontId="8" fillId="0" borderId="0" applyNumberFormat="0" applyFill="0" applyBorder="0" applyAlignment="0" applyProtection="0"/>
    <xf numFmtId="0" fontId="14" fillId="0" borderId="19" applyNumberFormat="0" applyFill="0" applyAlignment="0" applyProtection="0"/>
    <xf numFmtId="0" fontId="3" fillId="29" borderId="0" applyNumberFormat="0" applyBorder="0" applyAlignment="0" applyProtection="0"/>
    <xf numFmtId="0" fontId="25" fillId="28" borderId="0" applyNumberFormat="0" applyBorder="0" applyAlignment="0" applyProtection="0"/>
    <xf numFmtId="0" fontId="20" fillId="9" borderId="20" applyNumberFormat="0" applyAlignment="0" applyProtection="0"/>
    <xf numFmtId="0" fontId="3" fillId="13" borderId="0" applyNumberFormat="0" applyBorder="0" applyAlignment="0" applyProtection="0"/>
    <xf numFmtId="0" fontId="3" fillId="22" borderId="0" applyNumberFormat="0" applyBorder="0" applyAlignment="0" applyProtection="0"/>
    <xf numFmtId="0" fontId="3" fillId="17" borderId="0" applyNumberFormat="0" applyBorder="0" applyAlignment="0" applyProtection="0"/>
    <xf numFmtId="43" fontId="2" fillId="0" borderId="0" applyFont="0" applyFill="0" applyBorder="0" applyAlignment="0" applyProtection="0"/>
    <xf numFmtId="0" fontId="15" fillId="5" borderId="0" applyNumberFormat="0" applyBorder="0" applyAlignment="0" applyProtection="0"/>
    <xf numFmtId="9" fontId="1" fillId="0" borderId="0" applyFont="0" applyFill="0" applyBorder="0" applyAlignment="0" applyProtection="0"/>
    <xf numFmtId="0" fontId="12" fillId="0" borderId="17" applyNumberFormat="0" applyFill="0" applyAlignment="0" applyProtection="0"/>
    <xf numFmtId="0" fontId="10" fillId="0" borderId="0" applyNumberFormat="0" applyFill="0" applyBorder="0" applyAlignment="0" applyProtection="0"/>
    <xf numFmtId="0" fontId="17" fillId="7" borderId="0" applyNumberFormat="0" applyBorder="0" applyAlignment="0" applyProtection="0"/>
    <xf numFmtId="0" fontId="25" fillId="35" borderId="0" applyNumberFormat="0" applyBorder="0" applyAlignment="0" applyProtection="0"/>
    <xf numFmtId="0" fontId="25" fillId="24" borderId="0" applyNumberFormat="0" applyBorder="0" applyAlignment="0" applyProtection="0"/>
    <xf numFmtId="9" fontId="2" fillId="0" borderId="0" applyFont="0" applyFill="0" applyBorder="0" applyAlignment="0" applyProtection="0"/>
    <xf numFmtId="0" fontId="25" fillId="15" borderId="0" applyNumberFormat="0" applyBorder="0" applyAlignment="0" applyProtection="0"/>
    <xf numFmtId="0" fontId="25" fillId="32" borderId="0" applyNumberFormat="0" applyBorder="0" applyAlignment="0" applyProtection="0"/>
    <xf numFmtId="0" fontId="25" fillId="23" borderId="0" applyNumberFormat="0" applyBorder="0" applyAlignment="0" applyProtection="0"/>
    <xf numFmtId="0" fontId="3" fillId="14" borderId="0" applyNumberFormat="0" applyBorder="0" applyAlignment="0" applyProtection="0"/>
    <xf numFmtId="0" fontId="25" fillId="12" borderId="0" applyNumberFormat="0" applyBorder="0" applyAlignment="0" applyProtection="0"/>
    <xf numFmtId="0" fontId="16" fillId="6" borderId="0" applyNumberFormat="0" applyBorder="0" applyAlignment="0" applyProtection="0"/>
    <xf numFmtId="0" fontId="26" fillId="0" borderId="0" applyNumberFormat="0" applyFill="0" applyBorder="0" applyAlignment="0" applyProtection="0"/>
    <xf numFmtId="0" fontId="25" fillId="19" borderId="0" applyNumberFormat="0" applyBorder="0" applyAlignment="0" applyProtection="0"/>
    <xf numFmtId="0" fontId="25" fillId="27" borderId="0" applyNumberFormat="0" applyBorder="0" applyAlignment="0" applyProtection="0"/>
    <xf numFmtId="0" fontId="25" fillId="20" borderId="0" applyNumberFormat="0" applyBorder="0" applyAlignment="0" applyProtection="0"/>
    <xf numFmtId="43" fontId="2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47">
    <xf numFmtId="0" fontId="0" fillId="0" borderId="0" xfId="0"/>
    <xf numFmtId="0" fontId="6" fillId="0" borderId="1" xfId="0" applyFont="1" applyBorder="1"/>
    <xf numFmtId="1" fontId="6" fillId="0" borderId="9" xfId="0" applyNumberFormat="1" applyFont="1" applyBorder="1"/>
    <xf numFmtId="1" fontId="6" fillId="0" borderId="4" xfId="0" applyNumberFormat="1" applyFont="1" applyBorder="1"/>
    <xf numFmtId="0" fontId="6" fillId="0" borderId="9" xfId="0" applyFont="1" applyBorder="1"/>
    <xf numFmtId="1" fontId="6" fillId="0" borderId="1" xfId="0" applyNumberFormat="1" applyFont="1" applyBorder="1"/>
    <xf numFmtId="14" fontId="11" fillId="0" borderId="2" xfId="0" quotePrefix="1" applyNumberFormat="1" applyFont="1" applyBorder="1" applyAlignment="1">
      <alignment horizontal="right" vertical="center" wrapText="1"/>
    </xf>
    <xf numFmtId="1" fontId="6" fillId="0" borderId="0" xfId="0" applyNumberFormat="1" applyFont="1"/>
    <xf numFmtId="1" fontId="29" fillId="0" borderId="7" xfId="5" applyNumberFormat="1" applyFont="1" applyBorder="1" applyAlignment="1">
      <alignment horizontal="right"/>
    </xf>
    <xf numFmtId="1" fontId="29" fillId="0" borderId="5" xfId="2" applyNumberFormat="1" applyFont="1" applyBorder="1" applyAlignment="1">
      <alignment horizontal="right"/>
    </xf>
    <xf numFmtId="165" fontId="29" fillId="0" borderId="5" xfId="4" applyNumberFormat="1" applyFont="1" applyBorder="1" applyAlignment="1">
      <alignment horizontal="right"/>
    </xf>
    <xf numFmtId="1" fontId="29" fillId="2" borderId="13" xfId="0" applyNumberFormat="1" applyFont="1" applyFill="1" applyBorder="1" applyAlignment="1">
      <alignment horizontal="right" vertical="center"/>
    </xf>
    <xf numFmtId="165" fontId="6" fillId="0" borderId="0" xfId="4" applyNumberFormat="1" applyFont="1"/>
    <xf numFmtId="1" fontId="6" fillId="0" borderId="5" xfId="0" applyNumberFormat="1" applyFont="1" applyBorder="1"/>
    <xf numFmtId="2" fontId="6" fillId="0" borderId="0" xfId="0" applyNumberFormat="1" applyFont="1"/>
    <xf numFmtId="1" fontId="6" fillId="4" borderId="0" xfId="7" applyNumberFormat="1" applyFont="1" applyFill="1"/>
    <xf numFmtId="1" fontId="29" fillId="2" borderId="11" xfId="1" applyNumberFormat="1" applyFont="1" applyFill="1" applyBorder="1" applyAlignment="1">
      <alignment horizontal="right"/>
    </xf>
    <xf numFmtId="1" fontId="29" fillId="2" borderId="14" xfId="3" applyNumberFormat="1" applyFont="1" applyFill="1" applyBorder="1" applyAlignment="1">
      <alignment horizontal="right"/>
    </xf>
    <xf numFmtId="1" fontId="29" fillId="2" borderId="6" xfId="1" applyNumberFormat="1" applyFont="1" applyFill="1" applyBorder="1" applyAlignment="1">
      <alignment horizontal="right"/>
    </xf>
    <xf numFmtId="1" fontId="29" fillId="4" borderId="0" xfId="0" applyNumberFormat="1" applyFont="1" applyFill="1" applyAlignment="1">
      <alignment horizontal="right"/>
    </xf>
    <xf numFmtId="1" fontId="6" fillId="0" borderId="15" xfId="3" applyNumberFormat="1" applyFont="1" applyBorder="1" applyAlignment="1">
      <alignment horizontal="right"/>
    </xf>
    <xf numFmtId="1" fontId="29" fillId="2" borderId="6" xfId="3" applyNumberFormat="1" applyFont="1" applyFill="1" applyBorder="1" applyAlignment="1">
      <alignment horizontal="right"/>
    </xf>
    <xf numFmtId="1" fontId="29" fillId="2" borderId="11" xfId="3" applyNumberFormat="1" applyFont="1" applyFill="1" applyBorder="1" applyAlignment="1">
      <alignment horizontal="right"/>
    </xf>
    <xf numFmtId="1" fontId="29" fillId="4" borderId="16" xfId="0" applyNumberFormat="1" applyFont="1" applyFill="1" applyBorder="1" applyAlignment="1">
      <alignment horizontal="right"/>
    </xf>
    <xf numFmtId="14" fontId="11" fillId="0" borderId="3" xfId="0" quotePrefix="1" applyNumberFormat="1" applyFont="1" applyBorder="1" applyAlignment="1">
      <alignment horizontal="right" vertical="center" wrapText="1"/>
    </xf>
    <xf numFmtId="14" fontId="11" fillId="0" borderId="3" xfId="0" applyNumberFormat="1" applyFont="1" applyBorder="1" applyAlignment="1">
      <alignment horizontal="right" vertical="center" wrapText="1"/>
    </xf>
    <xf numFmtId="0" fontId="0" fillId="4" borderId="0" xfId="0" applyFill="1"/>
    <xf numFmtId="0" fontId="32" fillId="4" borderId="0" xfId="0" applyFont="1" applyFill="1"/>
    <xf numFmtId="0" fontId="34" fillId="4" borderId="0" xfId="0" applyFont="1" applyFill="1" applyAlignment="1">
      <alignment horizontal="left"/>
    </xf>
    <xf numFmtId="0" fontId="35" fillId="4" borderId="0" xfId="0" applyFont="1" applyFill="1"/>
    <xf numFmtId="0" fontId="6" fillId="0" borderId="0" xfId="0" applyFont="1"/>
    <xf numFmtId="0" fontId="37" fillId="0" borderId="0" xfId="0" applyFont="1"/>
    <xf numFmtId="1" fontId="36" fillId="3" borderId="10" xfId="0" applyNumberFormat="1" applyFont="1" applyFill="1" applyBorder="1"/>
    <xf numFmtId="0" fontId="6" fillId="0" borderId="4" xfId="0" applyFont="1" applyBorder="1"/>
    <xf numFmtId="1" fontId="6" fillId="0" borderId="7" xfId="0" applyNumberFormat="1" applyFont="1" applyBorder="1" applyAlignment="1">
      <alignment horizontal="right" vertical="center"/>
    </xf>
    <xf numFmtId="1" fontId="29" fillId="0" borderId="7" xfId="2" applyNumberFormat="1" applyFont="1" applyBorder="1" applyAlignment="1">
      <alignment horizontal="right"/>
    </xf>
    <xf numFmtId="3" fontId="29" fillId="2" borderId="13" xfId="0" applyNumberFormat="1" applyFont="1" applyFill="1" applyBorder="1" applyAlignment="1">
      <alignment horizontal="right" vertical="center"/>
    </xf>
    <xf numFmtId="1" fontId="29" fillId="2" borderId="8" xfId="1" applyNumberFormat="1" applyFont="1" applyFill="1" applyBorder="1" applyAlignment="1">
      <alignment horizontal="right"/>
    </xf>
    <xf numFmtId="1" fontId="6" fillId="0" borderId="12" xfId="0" applyNumberFormat="1" applyFont="1" applyBorder="1"/>
    <xf numFmtId="1" fontId="29" fillId="2" borderId="8" xfId="3" applyNumberFormat="1" applyFont="1" applyFill="1" applyBorder="1" applyAlignment="1">
      <alignment horizontal="right"/>
    </xf>
    <xf numFmtId="0" fontId="0" fillId="4" borderId="0" xfId="0" applyFill="1" applyAlignment="1">
      <alignment horizontal="left"/>
    </xf>
    <xf numFmtId="0" fontId="30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0" fontId="32" fillId="4" borderId="0" xfId="0" applyFont="1" applyFill="1" applyAlignment="1">
      <alignment horizontal="left"/>
    </xf>
    <xf numFmtId="0" fontId="0" fillId="4" borderId="0" xfId="0" applyFill="1" applyAlignment="1">
      <alignment horizontal="left" wrapText="1"/>
    </xf>
    <xf numFmtId="0" fontId="27" fillId="4" borderId="0" xfId="170" applyFill="1" applyBorder="1" applyAlignment="1">
      <alignment horizontal="left"/>
    </xf>
    <xf numFmtId="0" fontId="34" fillId="4" borderId="0" xfId="0" applyFont="1" applyFill="1" applyAlignment="1">
      <alignment horizontal="left"/>
    </xf>
  </cellXfs>
  <cellStyles count="171">
    <cellStyle name="20% - Accent1 2" xfId="45" xr:uid="{A6E37D18-FCBD-4AB0-B911-CCCD78F8A62E}"/>
    <cellStyle name="20% - Accent1 2 2" xfId="86" xr:uid="{E90CB76C-140B-4476-9225-A3ED2ED83D16}"/>
    <cellStyle name="20% - Accent1 2 3" xfId="147" xr:uid="{A4B7E150-BC7F-45BE-A5C4-9789001964B0}"/>
    <cellStyle name="20% - Accent2 2" xfId="49" xr:uid="{4AF54DAA-7A2A-49F6-BF39-63B6203C6F04}"/>
    <cellStyle name="20% - Accent2 2 2" xfId="88" xr:uid="{E2299CC3-EA9F-4D02-942E-6EAD2DC11A42}"/>
    <cellStyle name="20% - Accent2 2 3" xfId="149" xr:uid="{A048493E-7680-4394-B28B-BCF65313EA70}"/>
    <cellStyle name="20% - Accent3 2" xfId="53" xr:uid="{ECB14FC9-3575-434F-AD56-C5B0A3894325}"/>
    <cellStyle name="20% - Accent3 2 2" xfId="90" xr:uid="{A958E65B-B998-4496-9B01-E74E40D766A7}"/>
    <cellStyle name="20% - Accent3 2 3" xfId="134" xr:uid="{EED50052-3D17-46A5-824E-BD8FF8D9BB2A}"/>
    <cellStyle name="20% - Accent4 2" xfId="57" xr:uid="{1045363D-D5A1-4AA1-9679-4437A0017653}"/>
    <cellStyle name="20% - Accent4 2 2" xfId="92" xr:uid="{5E0BE15E-62B0-4426-BCDF-6302D1494E9A}"/>
    <cellStyle name="20% - Accent4 2 3" xfId="116" xr:uid="{1F3A2C80-C1E9-4A8B-A324-E32C13AFCD5C}"/>
    <cellStyle name="20% - Accent5 2" xfId="61" xr:uid="{CD072A9F-9C38-47B5-9ABD-C49B8378308B}"/>
    <cellStyle name="20% - Accent5 2 2" xfId="94" xr:uid="{5ECEEE59-768A-40C4-B145-0EF0654F308E}"/>
    <cellStyle name="20% - Accent5 2 3" xfId="144" xr:uid="{F791363B-0341-4997-A623-F838CCC66845}"/>
    <cellStyle name="20% - Accent6 2" xfId="65" xr:uid="{DE8E0580-1F8F-4B20-BBF8-E2613B25D618}"/>
    <cellStyle name="20% - Accent6 2 2" xfId="96" xr:uid="{A60D0685-FB21-4B31-8C28-01CFB6F8E464}"/>
    <cellStyle name="20% - Accent6 2 3" xfId="126" xr:uid="{FD372755-5DE2-4BFB-9150-3547AFEB17AD}"/>
    <cellStyle name="40% - Accent1 2" xfId="46" xr:uid="{C428AA06-ABCE-457C-891A-9E9610CC416F}"/>
    <cellStyle name="40% - Accent1 2 2" xfId="87" xr:uid="{C4134359-FA5E-416A-AA65-1237BC6C5682}"/>
    <cellStyle name="40% - Accent1 2 3" xfId="162" xr:uid="{0F87CBF6-BC41-40CB-A15B-7101B6E818EA}"/>
    <cellStyle name="40% - Accent2 2" xfId="50" xr:uid="{101893ED-2BFF-478A-8FD3-C19096F00A6E}"/>
    <cellStyle name="40% - Accent2 2 2" xfId="89" xr:uid="{5A99C880-531E-458E-81FD-2360AE9FF98E}"/>
    <cellStyle name="40% - Accent2 2 3" xfId="120" xr:uid="{3AAF6DF5-89D8-46A4-8B8B-D58723FF02A2}"/>
    <cellStyle name="40% - Accent3 2" xfId="54" xr:uid="{69BEDCF9-AFDA-4EBF-BA41-B886DCE44373}"/>
    <cellStyle name="40% - Accent3 2 2" xfId="91" xr:uid="{CB084209-4B41-486A-AAFF-C0BE1E4719E8}"/>
    <cellStyle name="40% - Accent3 2 3" xfId="148" xr:uid="{EC5F5323-1E73-464B-8FEA-DD079CB5EDCE}"/>
    <cellStyle name="40% - Accent4 2" xfId="58" xr:uid="{2A76F658-E8FA-4157-A98A-7340772D3FFD}"/>
    <cellStyle name="40% - Accent4 2 2" xfId="93" xr:uid="{FBCEA793-BC3D-48E5-875E-67466514C35A}"/>
    <cellStyle name="40% - Accent4 2 3" xfId="138" xr:uid="{C84307A3-9E95-48CD-8A3A-972E91205E79}"/>
    <cellStyle name="40% - Accent5 2" xfId="62" xr:uid="{2AAE5949-B518-4CCF-B875-42E35398533E}"/>
    <cellStyle name="40% - Accent5 2 2" xfId="95" xr:uid="{B68647D3-947B-4CFA-B76F-F1C0C501A71F}"/>
    <cellStyle name="40% - Accent5 2 3" xfId="129" xr:uid="{E7FB437A-B033-4AA7-8596-154B85930131}"/>
    <cellStyle name="40% - Accent6 2" xfId="66" xr:uid="{FF092DEA-D1E4-4C38-B8EA-BFE8136C4646}"/>
    <cellStyle name="40% - Accent6 2 2" xfId="97" xr:uid="{79529E0F-2919-463C-8232-3F3A74174E55}"/>
    <cellStyle name="40% - Accent6 2 3" xfId="122" xr:uid="{82BEFCF2-6B51-4ED4-B324-D82782A2E65C}"/>
    <cellStyle name="60% - Accent1 2" xfId="47" xr:uid="{567CD96A-5D34-40CD-B468-10D86401A7AB}"/>
    <cellStyle name="60% - Accent1 2 2" xfId="159" xr:uid="{784C73AE-ABDA-45EF-A63D-67CCD038C1EC}"/>
    <cellStyle name="60% - Accent2 2" xfId="51" xr:uid="{32095D89-A56A-48DA-96C1-D4BA5FD8FA11}"/>
    <cellStyle name="60% - Accent2 2 2" xfId="166" xr:uid="{05B8BEF9-D9D9-409E-809A-458E5EE7B960}"/>
    <cellStyle name="60% - Accent3 2" xfId="55" xr:uid="{803CA440-8666-4432-BF30-13D7CC72FD2C}"/>
    <cellStyle name="60% - Accent3 2 2" xfId="161" xr:uid="{EBE15171-9EB9-4219-AE38-FFF8A950EB1E}"/>
    <cellStyle name="60% - Accent4 2" xfId="59" xr:uid="{FA963A7E-B94B-4536-BABD-25E9BC9B5D20}"/>
    <cellStyle name="60% - Accent4 2 2" xfId="167" xr:uid="{4B1826F9-2953-4694-855E-50B8F30592B5}"/>
    <cellStyle name="60% - Accent5 2" xfId="63" xr:uid="{DED02872-86C1-4061-A2F8-BC9AFEEEA353}"/>
    <cellStyle name="60% - Accent5 2 2" xfId="124" xr:uid="{567CC226-22C0-41BD-907C-EB323466FC0D}"/>
    <cellStyle name="60% - Accent6 2" xfId="67" xr:uid="{5A0102D2-F932-4673-8FE9-411934E296B9}"/>
    <cellStyle name="60% - Accent6 2 2" xfId="156" xr:uid="{A732A4D3-49DC-4508-AEBB-AFAEDB98A5B9}"/>
    <cellStyle name="Accent1 2" xfId="44" xr:uid="{1EE7F74B-206D-470A-9380-BBF9C1E0D4F9}"/>
    <cellStyle name="Accent1 2 2" xfId="163" xr:uid="{F0A4B28C-22EE-484F-B5D4-4B755603ECC9}"/>
    <cellStyle name="Accent2 2" xfId="48" xr:uid="{0E3EBDBB-86D1-4102-A2FB-7C56699937B3}"/>
    <cellStyle name="Accent2 2 2" xfId="128" xr:uid="{370603BE-0946-4B0B-9D11-33E9897A2A18}"/>
    <cellStyle name="Accent3 2" xfId="52" xr:uid="{4632DB1A-8FD1-4567-AD10-180C8CA30A68}"/>
    <cellStyle name="Accent3 2 2" xfId="168" xr:uid="{3F81EE96-BB33-4252-802C-395F613D414F}"/>
    <cellStyle name="Accent4 2" xfId="56" xr:uid="{0DA72C86-BA44-4A43-ABCD-DFF1027D419D}"/>
    <cellStyle name="Accent4 2 2" xfId="157" xr:uid="{1CBEC2A4-4534-4EF0-8B7E-31E064363E1A}"/>
    <cellStyle name="Accent5 2" xfId="60" xr:uid="{8BED1EA5-3997-4DDF-ACB7-D222A76A395B}"/>
    <cellStyle name="Accent5 2 2" xfId="145" xr:uid="{7919CB66-F59F-47A4-8B3B-6D6591203864}"/>
    <cellStyle name="Accent6 2" xfId="64" xr:uid="{F25BCCCF-5486-4F94-95A6-063FC3665BB3}"/>
    <cellStyle name="Accent6 2 2" xfId="160" xr:uid="{731E12FF-122F-4E63-A757-E21EBEF0FB06}"/>
    <cellStyle name="Bad 2" xfId="34" xr:uid="{8F0D3566-4602-498A-9552-4BA59AA09B78}"/>
    <cellStyle name="Bad 2 2" xfId="164" xr:uid="{4BF335E5-17FD-4DA0-A595-03E795ED08D6}"/>
    <cellStyle name="Calculation 2" xfId="38" xr:uid="{FD051AF5-B2B3-451C-9CD2-135C2D1ECC0C}"/>
    <cellStyle name="Calculation 2 2" xfId="146" xr:uid="{7297B424-0A70-4489-9D07-DB8302C05EA9}"/>
    <cellStyle name="Check Cell 2" xfId="40" xr:uid="{F308D9DD-121D-4AE6-A798-6A9FC55FD77E}"/>
    <cellStyle name="Check Cell 2 2" xfId="139" xr:uid="{821D1F9F-6863-424E-A782-5181FFEFA66F}"/>
    <cellStyle name="Comma" xfId="1" builtinId="3"/>
    <cellStyle name="Comma 2" xfId="8" xr:uid="{0D0C9CFA-05E2-406F-B8A4-30302F2547C1}"/>
    <cellStyle name="Comma 2 2" xfId="79" xr:uid="{8C304D84-5A33-45B2-A7FC-7E851291B019}"/>
    <cellStyle name="Comma 2 2 2" xfId="108" xr:uid="{450B5416-E1C7-4E39-9A86-7AFCE5946F7A}"/>
    <cellStyle name="Comma 2 3" xfId="103" xr:uid="{E942A0D1-B7F6-420B-9DE7-8014855D5395}"/>
    <cellStyle name="Comma 2 4" xfId="150" xr:uid="{A2091E8D-E29F-44CF-8A41-96BB2FB1B5BE}"/>
    <cellStyle name="Comma 3" xfId="3" xr:uid="{B5C525BE-139B-492C-9EAC-36D059DF7E3B}"/>
    <cellStyle name="Comma 3 2" xfId="80" xr:uid="{3DE33099-D205-4151-8711-BCCA0DB36398}"/>
    <cellStyle name="Comma 3 2 2" xfId="109" xr:uid="{C6408769-44E7-40F3-9911-157F29BF2638}"/>
    <cellStyle name="Comma 3 3" xfId="104" xr:uid="{F6C89683-D02F-461A-BB89-D3DB98EDDDF0}"/>
    <cellStyle name="Comma 3 4" xfId="9" xr:uid="{54321B64-C444-493A-8045-75473C1C82FF}"/>
    <cellStyle name="Comma 3 5" xfId="169" xr:uid="{8599BCAB-AF7B-4095-9AE2-0C59D27F3DAD}"/>
    <cellStyle name="Comma 4" xfId="76" xr:uid="{328A4931-A47E-4CAD-AC73-865758D1A5E9}"/>
    <cellStyle name="Comma 4 2" xfId="102" xr:uid="{CB3DB752-F3EB-4208-9517-FCD44DFCA6FD}"/>
    <cellStyle name="Comma 4 2 2" xfId="112" xr:uid="{8289AE77-DF88-4D3F-A57D-34BCA0089FC4}"/>
    <cellStyle name="Comma 4 3" xfId="107" xr:uid="{EA469012-0CD8-4BB9-8513-B3D547383C44}"/>
    <cellStyle name="Comma 5" xfId="84" xr:uid="{FCDEBE9C-D71A-4446-917E-38247C02A643}"/>
    <cellStyle name="Comma 5 2" xfId="110" xr:uid="{F99E6478-0E5F-4205-AC0F-BD0A590C2E0F}"/>
    <cellStyle name="Comma 6" xfId="105" xr:uid="{B3AE98E9-3279-4C02-84ED-4F3C96E8DF02}"/>
    <cellStyle name="Comma 7" xfId="25" xr:uid="{8D088F24-3EC4-439B-B20B-A09A05DF63FC}"/>
    <cellStyle name="Comma 8" xfId="140" xr:uid="{4D1FE408-A9A0-4E63-9B00-BE4B7B5BED68}"/>
    <cellStyle name="Explanatory Text 2" xfId="42" xr:uid="{0566C749-076F-4FCF-9E03-DD4B60601151}"/>
    <cellStyle name="Explanatory Text 2 2" xfId="135" xr:uid="{9033F690-CFF4-4605-B228-464D618F009D}"/>
    <cellStyle name="ExportHeaderStyle" xfId="27" xr:uid="{7DDD2BE4-2E0A-4D66-9439-27FB9F1DAA24}"/>
    <cellStyle name="ExportHeaderStyle 2" xfId="6" xr:uid="{EB578451-295A-49C7-BC76-EF450DB61CB4}"/>
    <cellStyle name="Followed Hyperlink 2" xfId="22" xr:uid="{7701D8F1-123F-480E-AB77-5C05A137E285}"/>
    <cellStyle name="Followed Hyperlink 2 2" xfId="154" xr:uid="{5C389FB1-4F1D-47FD-8BCE-EF69A7C78563}"/>
    <cellStyle name="Good 2" xfId="33" xr:uid="{C5C14859-CD45-4682-AB98-0D957DEE68C8}"/>
    <cellStyle name="Good 2 2" xfId="151" xr:uid="{53D1513C-0235-406B-862F-AA1F4C134091}"/>
    <cellStyle name="Heading 1 2" xfId="29" xr:uid="{AEC6C756-2678-4F6B-87AA-6295E501C06B}"/>
    <cellStyle name="Heading 1 2 2" xfId="153" xr:uid="{AB4594AA-E5CA-4EE5-ABF8-0321306962FC}"/>
    <cellStyle name="Heading 2 2" xfId="30" xr:uid="{2A578BDD-D249-4EA3-B921-7E45B4FD576C}"/>
    <cellStyle name="Heading 2 2 2" xfId="137" xr:uid="{DA0AAC10-A1E6-4E3B-B256-4BFE44CE0C0A}"/>
    <cellStyle name="Heading 3 2" xfId="31" xr:uid="{F63BEC43-B3C1-4856-A56A-10E5AE87951F}"/>
    <cellStyle name="Heading 3 2 2" xfId="143" xr:uid="{8310BE2A-C7AB-4DE4-AB44-8F46154144BA}"/>
    <cellStyle name="Heading 4 2" xfId="32" xr:uid="{76E74DA5-B135-4138-AFDD-94E5AF7F677A}"/>
    <cellStyle name="Heading 4 2 2" xfId="117" xr:uid="{F9FA7BC2-10D8-4E9E-84E5-D95A2F9E6DB9}"/>
    <cellStyle name="Hyperlink" xfId="170" builtinId="8"/>
    <cellStyle name="Hyperlink 2" xfId="10" xr:uid="{8C6CF408-47B4-4464-AE99-BF3E4F42AE84}"/>
    <cellStyle name="Hyperlink 2 2" xfId="142" xr:uid="{1D36EF53-7920-4001-BE51-DA8A23F21C27}"/>
    <cellStyle name="Hyperlink 3" xfId="21" xr:uid="{B83668B3-170F-46B6-BE49-7B0B829D6A4F}"/>
    <cellStyle name="Hyperlink 3 2" xfId="136" xr:uid="{C2E77C72-4F45-4F2F-8ED2-EF604A130BF8}"/>
    <cellStyle name="Hyperlink 4" xfId="26" xr:uid="{25315814-666D-4EC1-8DF5-1F21DD1C6F2F}"/>
    <cellStyle name="Hyperlink 4 2" xfId="113" xr:uid="{F3557D93-F805-4921-A133-DFC435571DA2}"/>
    <cellStyle name="Hyperlink 5" xfId="73" xr:uid="{81E02441-227C-4C65-9E65-2953A4D5F964}"/>
    <cellStyle name="Hyperlink 5 2" xfId="78" xr:uid="{80A3822D-445D-44C6-9853-CFCB1D430C78}"/>
    <cellStyle name="Hyperlink 6" xfId="75" xr:uid="{76E880EE-2B2D-4C06-9D6C-5EF2B1E6D428}"/>
    <cellStyle name="Hyperlink 7" xfId="165" xr:uid="{DE905FA9-B2CB-4C10-84CF-32986EF0211B}"/>
    <cellStyle name="Input 2" xfId="36" xr:uid="{BBFDC9E6-480D-4777-BB19-1C7F84EF0F96}"/>
    <cellStyle name="Input 2 2" xfId="114" xr:uid="{58CEC2DD-1269-46A1-AC5A-84F1AC9AAA6F}"/>
    <cellStyle name="Linked Cell 2" xfId="39" xr:uid="{058CACE4-6226-4E9C-AC3A-D30D1A758C1E}"/>
    <cellStyle name="Linked Cell 2 2" xfId="133" xr:uid="{074E03E3-8EA5-4E24-B9FC-F24B0C2A36D8}"/>
    <cellStyle name="Neutral 2" xfId="35" xr:uid="{3998AF00-93A5-4BCE-B360-F0F998F9F66C}"/>
    <cellStyle name="Neutral 2 2" xfId="155" xr:uid="{1D9AF477-2B03-4DA9-AB00-6902FE25F462}"/>
    <cellStyle name="Normal" xfId="0" builtinId="0"/>
    <cellStyle name="Normal 2" xfId="7" xr:uid="{9628EED1-2965-48C8-BCB4-223209E53E93}"/>
    <cellStyle name="Normal 2 2" xfId="11" xr:uid="{66BFB232-5917-4D49-A35B-17C5AB0C48C1}"/>
    <cellStyle name="Normal 2 3" xfId="68" xr:uid="{82449427-2F18-4093-BA86-787B5FD54D8B}"/>
    <cellStyle name="Normal 2 3 2" xfId="98" xr:uid="{63B798A3-F5FD-45AE-9A44-7F09C2E07DFB}"/>
    <cellStyle name="Normal 2 4" xfId="74" xr:uid="{7A67EDD9-32F7-4D5A-8789-02A34B7BE3FF}"/>
    <cellStyle name="Normal 3" xfId="12" xr:uid="{FCD5CE99-963F-497D-A313-49FEEABB06F8}"/>
    <cellStyle name="Normal 3 2" xfId="13" xr:uid="{30FDD731-DE05-4F85-AADB-9B6288138E14}"/>
    <cellStyle name="Normal 3 2 2" xfId="77" xr:uid="{1BCED74E-EC1E-4E0A-A8D4-5A73EED3B7DD}"/>
    <cellStyle name="Normal 4" xfId="14" xr:uid="{76B3E166-0D44-4298-83C7-A3AE2ACDE388}"/>
    <cellStyle name="Normal 4 2" xfId="28" xr:uid="{22621C77-3C05-4319-8313-F7CB44DC93B0}"/>
    <cellStyle name="Normal 4 2 2" xfId="85" xr:uid="{6CA53EE0-9D7F-4103-A514-E5D0BAE44BB9}"/>
    <cellStyle name="Normal 5" xfId="70" xr:uid="{671222B4-264F-44DE-B7A7-3BB09D561E49}"/>
    <cellStyle name="Normal 5 2" xfId="100" xr:uid="{0D64EB39-BB86-46DE-BFDE-BB1247DE230B}"/>
    <cellStyle name="Normal 5 2 2" xfId="111" xr:uid="{43D16904-83AE-4C66-9C2F-9741F80A7EE4}"/>
    <cellStyle name="Normal 5 3" xfId="106" xr:uid="{52DD2C97-788B-4C77-87DE-CE6A860B82CD}"/>
    <cellStyle name="Normal 6" xfId="71" xr:uid="{998378E5-3DDF-436C-84D4-82215F6A455D}"/>
    <cellStyle name="Normal 6 2" xfId="101" xr:uid="{C24FBEB3-8F7F-425C-AEF0-75D1CE79F92F}"/>
    <cellStyle name="Normal_Table_1a_1d_Modality_Provider_Counts" xfId="5" xr:uid="{4DB86057-8216-4840-B11B-42CB9D44753E}"/>
    <cellStyle name="Normal_Table_4a_4d_Bodysite_Provider_Counts" xfId="2" xr:uid="{E3E4C414-2167-4689-9279-72F18B5EDA6A}"/>
    <cellStyle name="Note 2" xfId="23" xr:uid="{9771E6D8-55BE-4EB6-AF61-BADECC03D2EB}"/>
    <cellStyle name="Note 2 2" xfId="69" xr:uid="{88E1510C-7B6B-42B8-B27E-0C9BDCA03C7F}"/>
    <cellStyle name="Note 2 2 2" xfId="99" xr:uid="{65CF2DA9-1768-4E60-A89E-B126E943017C}"/>
    <cellStyle name="Note 2 2 3" xfId="132" xr:uid="{0A6AC16A-AB68-4608-AA76-7EEA767A7B26}"/>
    <cellStyle name="Note 2 3" xfId="119" xr:uid="{932D9BFB-C546-431A-9173-374ED17F6249}"/>
    <cellStyle name="Note 3" xfId="24" xr:uid="{D32DDA7F-95B2-4931-95EE-7487500C2143}"/>
    <cellStyle name="Note 3 2" xfId="141" xr:uid="{FDFD47CE-B579-416A-BFD4-5C0C03F00D9E}"/>
    <cellStyle name="Output 2" xfId="37" xr:uid="{2528CC32-E85C-4946-AE04-972B710E1D0E}"/>
    <cellStyle name="Output 2 2" xfId="125" xr:uid="{05D521B6-E9A4-4B28-BEBE-65E0767465EA}"/>
    <cellStyle name="Percent" xfId="4" builtinId="5"/>
    <cellStyle name="Percent 2" xfId="15" xr:uid="{BA6DA44C-1AA6-485C-8556-D58982C79D5A}"/>
    <cellStyle name="Percent 2 2" xfId="115" xr:uid="{C42D2D6C-95AA-4A10-A8E8-0CC93028CC13}"/>
    <cellStyle name="Percent 3" xfId="16" xr:uid="{88830510-1377-4BB6-83AB-B462A7F69C85}"/>
    <cellStyle name="Percent 3 2" xfId="17" xr:uid="{8E4A8D6E-6645-41A7-A4F2-8B1FBEDEC8BF}"/>
    <cellStyle name="Percent 3 2 2" xfId="18" xr:uid="{DE20AA8A-6C00-482E-9E36-2BFB81CD3755}"/>
    <cellStyle name="Percent 3 2 2 2" xfId="83" xr:uid="{9EBF6014-757C-4051-B523-24BADACDFCEC}"/>
    <cellStyle name="Percent 3 2 2 3" xfId="118" xr:uid="{FA55E36D-DBFE-4026-9D8A-CEA27BF785CB}"/>
    <cellStyle name="Percent 3 2 3" xfId="82" xr:uid="{3C29A14B-2EBF-460D-9A80-8F9EA2991EA2}"/>
    <cellStyle name="Percent 3 2 4" xfId="152" xr:uid="{027C6A5F-2BEE-4E1E-A227-4C6405151609}"/>
    <cellStyle name="Percent 3 3" xfId="81" xr:uid="{4FA24B8D-1A28-42AA-8084-FFE5D60DAC43}"/>
    <cellStyle name="Percent 3 4" xfId="123" xr:uid="{335A0584-F685-4553-AB50-FD82EFD9F686}"/>
    <cellStyle name="Percent 4" xfId="19" xr:uid="{D06B19FF-7370-4ECC-B758-03453B4D577D}"/>
    <cellStyle name="Percent 4 2" xfId="158" xr:uid="{0717FD50-56F7-40C6-85CD-E8F5C8C3E509}"/>
    <cellStyle name="Percent 5" xfId="20" xr:uid="{E7B70568-9E6E-4736-BFDB-9B7ACE88DB79}"/>
    <cellStyle name="Percent 5 2" xfId="130" xr:uid="{02BD1DF0-FF84-4458-BAB1-556F59759857}"/>
    <cellStyle name="Percent 6" xfId="72" xr:uid="{E8C9CCDC-B565-410E-8CC0-985E08FCFAFF}"/>
    <cellStyle name="Title 2" xfId="127" xr:uid="{74CA7F03-4B14-4575-96EF-60C9948227D4}"/>
    <cellStyle name="Total 2" xfId="43" xr:uid="{6E0F13B5-3925-4623-9CDA-BFD983E8F710}"/>
    <cellStyle name="Total 2 2" xfId="121" xr:uid="{43C06EF2-CDD9-4492-B719-6FF9626370C1}"/>
    <cellStyle name="Warning Text 2" xfId="41" xr:uid="{8D4E99F0-A600-493A-8A70-DA0A7D96A685}"/>
    <cellStyle name="Warning Text 2 2" xfId="131" xr:uid="{2009187D-2355-49AF-91A4-1DFD34C80BD0}"/>
  </cellStyles>
  <dxfs count="38"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19" formatCode="dd/mm/yyyy"/>
      <alignment horizontal="righ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260C7C-27BB-47DF-BDE0-49FA7B5758A2}" name="Table2" displayName="Table2" ref="A1:P11" totalsRowShown="0" headerRowDxfId="37" dataDxfId="36">
  <autoFilter ref="A1:P11" xr:uid="{A9260C7C-27BB-47DF-BDE0-49FA7B5758A2}"/>
  <tableColumns count="16">
    <tableColumn id="1" xr3:uid="{0093E4D2-A66A-4071-BBFF-1A182F2FCABB}" name="Year" dataDxfId="35"/>
    <tableColumn id="5" xr3:uid="{FF5DD1C6-9240-4116-9065-20B53241A8AC}" name="England Population" dataDxfId="34"/>
    <tableColumn id="6" xr3:uid="{3918F8DD-EF22-4398-B67F-A953BEBFD6EF}" name="MRI  Scans (NHS)" dataDxfId="33"/>
    <tableColumn id="2" xr3:uid="{F22F67DF-E992-44A6-9D6E-0B0CAD912855}" name="MRI Brain Scans (NHS)" dataDxfId="32"/>
    <tableColumn id="7" xr3:uid="{941E9FA4-F83A-4868-9EDB-14475EB45140}" name="MRI Brain %" dataDxfId="31">
      <calculatedColumnFormula>Table2[[#This Row],[MRI Brain Scans (NHS)]]/Table2[[#This Row],[MRI  Scans (NHS)]]</calculatedColumnFormula>
    </tableColumn>
    <tableColumn id="13" xr3:uid="{B7B5B942-A1E4-484C-A4BC-F18C5FAFB89B}" name="Private Brain Scans" dataDxfId="30" dataCellStyle="Percent">
      <calculatedColumnFormula>Table2[[#This Row],[MRI Brain Scans (NHS)]]*5.8%</calculatedColumnFormula>
    </tableColumn>
    <tableColumn id="14" xr3:uid="{85AE817D-B894-4D51-93DF-CC2551E7176D}" name="Total Brain Scans" dataDxfId="29" dataCellStyle="Percent">
      <calculatedColumnFormula>Table2[[#This Row],[MRI Brain Scans (NHS)]]+Table2[[#This Row],[Private Brain Scans]]</calculatedColumnFormula>
    </tableColumn>
    <tableColumn id="3" xr3:uid="{757AFF1A-E828-4FAB-B7CE-2FEE76B99AC6}" name="Clinical Radiologists (NHS)" dataDxfId="28" dataCellStyle="Comma"/>
    <tableColumn id="4" xr3:uid="{32458375-5DE0-4DF3-899D-D8321A11F04C}" name="Brain Scan per Radiologist (Annual)" dataDxfId="27">
      <calculatedColumnFormula>D2/H2</calculatedColumnFormula>
    </tableColumn>
    <tableColumn id="8" xr3:uid="{C44126A2-B570-4CE9-AA10-CF079198E1DE}" name="Patient Waiting List (MRI)" dataDxfId="26"/>
    <tableColumn id="9" xr3:uid="{9A4964BC-4011-4B82-BB0E-36D5D67B8B29}" name="Brain Patients Waiting List" dataDxfId="25">
      <calculatedColumnFormula>Table2[[#This Row],[Patient Waiting List (MRI)]]*Table2[[#This Row],[MRI Brain %]]</calculatedColumnFormula>
    </tableColumn>
    <tableColumn id="10" xr3:uid="{3F00AB47-7280-4AF4-919C-498DBD762E45}" name="MRI 6+ Week Waiters" dataDxfId="24"/>
    <tableColumn id="11" xr3:uid="{39515F23-0EF2-49EB-ABC6-5CB49EC6A16E}" name="Brain 6+ Week Waiters" dataDxfId="23">
      <calculatedColumnFormula>Table2[[#This Row],[MRI 6+ Week Waiters]]*Table2[[#This Row],[MRI Brain %]]</calculatedColumnFormula>
    </tableColumn>
    <tableColumn id="12" xr3:uid="{75967FCF-3B27-459C-AB6E-EB76690C1D85}" name="% Waiting 6+ weeks" dataDxfId="22">
      <calculatedColumnFormula>Table2[[#This Row],[Brain 6+ Week Waiters]]/Table2[[#This Row],[Brain Patients Waiting List]]</calculatedColumnFormula>
    </tableColumn>
    <tableColumn id="15" xr3:uid="{AF2008E4-4E26-4B1A-AE7A-2363A088CBDB}" name="Dementia Patients" dataDxfId="21"/>
    <tableColumn id="17" xr3:uid="{B2F1C741-F708-4BA9-AFB3-F3D6F9113136}" name="Brain Tumor Incidence Rate" dataDxfId="2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A146F-2FE6-4D4B-9287-E8F56B2979CD}" name="Table1" displayName="Table1" ref="A1:P121" totalsRowShown="0" headerRowDxfId="19" dataDxfId="17" headerRowBorderDxfId="18" tableBorderDxfId="16">
  <autoFilter ref="A1:P121" xr:uid="{AD9A146F-2FE6-4D4B-9287-E8F56B2979CD}"/>
  <tableColumns count="16">
    <tableColumn id="1" xr3:uid="{17063652-5DCB-4CD7-948B-57EB41E73C5F}" name="Date" dataDxfId="15"/>
    <tableColumn id="5" xr3:uid="{7930D46F-4770-4CE4-8CE3-4814D004E94A}" name="England Population" dataDxfId="14"/>
    <tableColumn id="8" xr3:uid="{9134BD0B-EF78-47A0-A280-B521814D12B9}" name="MRI Scans (NHS)" dataDxfId="13"/>
    <tableColumn id="2" xr3:uid="{E5EA487E-2E81-443D-BFBB-B224D72F57C5}" name="MRI Brain Scans (NHS)" dataDxfId="12" dataCellStyle="Comma 3"/>
    <tableColumn id="9" xr3:uid="{33451AD2-3D93-4FC4-BC45-D6EACA9A7D11}" name="MRI Brain %" dataDxfId="11" dataCellStyle="Comma 3">
      <calculatedColumnFormula>Table1[[#This Row],[MRI Brain Scans (NHS)]]/Table1[[#This Row],[MRI Scans (NHS)]]</calculatedColumnFormula>
    </tableColumn>
    <tableColumn id="13" xr3:uid="{BC57E54F-5685-4B4F-AB02-AC603AA3C920}" name="Private Brain Scans" dataDxfId="10" dataCellStyle="Percent">
      <calculatedColumnFormula>Table1[[#This Row],[MRI Brain Scans (NHS)]]*5.8%</calculatedColumnFormula>
    </tableColumn>
    <tableColumn id="14" xr3:uid="{2DCDE115-CC90-462F-8368-98845FD4EEFA}" name="Total Brain Scans" dataDxfId="9" dataCellStyle="Percent">
      <calculatedColumnFormula>Table1[[#This Row],[MRI Brain Scans (NHS)]]+Table1[[#This Row],[Private Brain Scans]]</calculatedColumnFormula>
    </tableColumn>
    <tableColumn id="3" xr3:uid="{54EE63A9-3E49-4801-AFFE-89D15A563520}" name="Clinical Radiologists" dataDxfId="8" dataCellStyle="Comma 3"/>
    <tableColumn id="4" xr3:uid="{34BF2DB7-5A53-4C8D-9BA3-BEDAF10D0432}" name="Brain Scan per Radiologist (Monthly)" dataDxfId="7"/>
    <tableColumn id="6" xr3:uid="{1F235E4E-BBD4-46C5-B2D8-E66C08F84102}" name="Patient Waiting List (MRI)" dataDxfId="6"/>
    <tableColumn id="7" xr3:uid="{4779C971-BFEE-4BE7-89C7-C3B33BE34782}" name="Brain Patients Waiting List" dataDxfId="5">
      <calculatedColumnFormula>Table1[[#This Row],[Patient Waiting List (MRI)]]*Table1[[#This Row],[MRI Brain %]]</calculatedColumnFormula>
    </tableColumn>
    <tableColumn id="10" xr3:uid="{13261A0A-596B-4BBA-9120-C7A5F4AF27A7}" name="MRI 6+ Week Waiter" dataDxfId="4"/>
    <tableColumn id="11" xr3:uid="{B9F496CA-E848-4D33-ADAC-3DD58E4EAC93}" name="Brain 6+ Week Waiters" dataDxfId="3">
      <calculatedColumnFormula>Table1[[#This Row],[MRI 6+ Week Waiter]]*Table1[[#This Row],[MRI Brain %]]</calculatedColumnFormula>
    </tableColumn>
    <tableColumn id="12" xr3:uid="{834A3ACE-33A2-493E-96C7-8F86D9E647BC}" name="% Waiting 6+ weeks" dataDxfId="2">
      <calculatedColumnFormula>Table1[[#This Row],[Brain 6+ Week Waiters]]/Table1[[#This Row],[Brain Patients Waiting List]]</calculatedColumnFormula>
    </tableColumn>
    <tableColumn id="15" xr3:uid="{824A000B-C459-4CB1-9403-2F4B2B283ED1}" name="Dementia Patients" dataDxfId="1"/>
    <tableColumn id="17" xr3:uid="{2A0EDDB4-E87C-4ADE-9204-AD7B9A66C1F6}" name="Brain Tumor Incidence R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england.nhs.uk/statistics/statistical-work-areas/diagnostics-waiting-times-and-activity/monthly-diagnostics-waiting-times-and-activity/" TargetMode="External"/><Relationship Id="rId7" Type="http://schemas.openxmlformats.org/officeDocument/2006/relationships/hyperlink" Target="https://www.cancerresearchuk.org/health-professional/cancer-statistics/statistics-by-cancer-type/brain-other-cns-and-intracranial-tumours/incidence" TargetMode="External"/><Relationship Id="rId2" Type="http://schemas.openxmlformats.org/officeDocument/2006/relationships/hyperlink" Target="https://www.england.nhs.uk/statistics/statistical-work-areas/diagnostic-imaging-dataset/" TargetMode="External"/><Relationship Id="rId1" Type="http://schemas.openxmlformats.org/officeDocument/2006/relationships/hyperlink" Target="https://www.ons.gov.uk/peoplepopulationandcommunity/populationandmigration/populationestimates/datasets/estimatesofthepopulationforenglandandwales" TargetMode="External"/><Relationship Id="rId6" Type="http://schemas.openxmlformats.org/officeDocument/2006/relationships/hyperlink" Target="https://digital.nhs.uk/data-and-information/publications/statistical/primary-care-dementia-data" TargetMode="External"/><Relationship Id="rId5" Type="http://schemas.openxmlformats.org/officeDocument/2006/relationships/hyperlink" Target="https://go.laingbuisson.com/diagnostics-report-3" TargetMode="External"/><Relationship Id="rId4" Type="http://schemas.openxmlformats.org/officeDocument/2006/relationships/hyperlink" Target="https://digital.nhs.uk/data-and-information/publications/statistical/nhs-workforce-statistic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176F-C90B-4266-B131-BEE1AF8171C8}">
  <dimension ref="A1:R38"/>
  <sheetViews>
    <sheetView topLeftCell="A7" zoomScaleNormal="100" workbookViewId="0">
      <selection activeCell="A2" sqref="A2:I2"/>
    </sheetView>
  </sheetViews>
  <sheetFormatPr defaultColWidth="9.08984375" defaultRowHeight="14.5" x14ac:dyDescent="0.35"/>
  <cols>
    <col min="1" max="8" width="9.08984375" style="26"/>
    <col min="9" max="9" width="9.08984375" style="26" customWidth="1"/>
    <col min="10" max="16384" width="9.08984375" style="26"/>
  </cols>
  <sheetData>
    <row r="1" spans="1:18" ht="23.25" customHeight="1" x14ac:dyDescent="0.5">
      <c r="A1" s="41" t="s">
        <v>27</v>
      </c>
      <c r="B1" s="41"/>
      <c r="C1" s="41"/>
      <c r="D1" s="41"/>
      <c r="E1" s="41"/>
      <c r="F1" s="41"/>
      <c r="G1" s="41"/>
      <c r="H1" s="41"/>
      <c r="I1" s="41"/>
    </row>
    <row r="2" spans="1:18" ht="23.25" customHeight="1" x14ac:dyDescent="0.5">
      <c r="A2" s="42" t="s">
        <v>28</v>
      </c>
      <c r="B2" s="42"/>
      <c r="C2" s="42"/>
      <c r="D2" s="42"/>
      <c r="E2" s="42"/>
      <c r="F2" s="42"/>
      <c r="G2" s="42"/>
      <c r="H2" s="42"/>
      <c r="I2" s="42"/>
    </row>
    <row r="5" spans="1:18" ht="21" customHeight="1" x14ac:dyDescent="0.45">
      <c r="A5" s="43" t="s">
        <v>29</v>
      </c>
      <c r="B5" s="43"/>
    </row>
    <row r="6" spans="1:18" ht="15.75" customHeight="1" x14ac:dyDescent="0.35">
      <c r="A6" s="44" t="s">
        <v>30</v>
      </c>
      <c r="B6" s="44"/>
      <c r="C6" s="44"/>
      <c r="D6" s="44"/>
      <c r="E6" s="44"/>
      <c r="F6" s="44"/>
      <c r="G6" s="44"/>
      <c r="H6" s="44"/>
      <c r="I6" s="44"/>
      <c r="J6" s="44"/>
    </row>
    <row r="7" spans="1:18" x14ac:dyDescent="0.35">
      <c r="A7" s="44"/>
      <c r="B7" s="44"/>
      <c r="C7" s="44"/>
      <c r="D7" s="44"/>
      <c r="E7" s="44"/>
      <c r="F7" s="44"/>
      <c r="G7" s="44"/>
      <c r="H7" s="44"/>
      <c r="I7" s="44"/>
      <c r="J7" s="44"/>
    </row>
    <row r="9" spans="1:18" ht="18.5" x14ac:dyDescent="0.45">
      <c r="A9" s="27" t="s">
        <v>31</v>
      </c>
    </row>
    <row r="10" spans="1:18" x14ac:dyDescent="0.35">
      <c r="A10" s="40" t="s">
        <v>32</v>
      </c>
      <c r="B10" s="40"/>
      <c r="C10" s="40"/>
      <c r="D10" s="40"/>
    </row>
    <row r="11" spans="1:18" x14ac:dyDescent="0.35">
      <c r="A11" s="40" t="s">
        <v>33</v>
      </c>
      <c r="B11" s="40"/>
      <c r="C11" s="40"/>
      <c r="D11" s="40"/>
    </row>
    <row r="13" spans="1:18" ht="18.5" x14ac:dyDescent="0.45">
      <c r="A13" s="43" t="s">
        <v>34</v>
      </c>
      <c r="B13" s="43"/>
      <c r="C13" s="43"/>
    </row>
    <row r="14" spans="1:18" x14ac:dyDescent="0.35">
      <c r="A14" s="40" t="s">
        <v>35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</row>
    <row r="15" spans="1:18" x14ac:dyDescent="0.35">
      <c r="A15" s="45" t="s">
        <v>36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18" x14ac:dyDescent="0.3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</row>
    <row r="17" spans="1:17" x14ac:dyDescent="0.35">
      <c r="A17" s="40" t="s">
        <v>37</v>
      </c>
      <c r="B17" s="40"/>
      <c r="C17" s="40"/>
      <c r="D17" s="40"/>
      <c r="E17" s="40"/>
      <c r="F17" s="40"/>
    </row>
    <row r="18" spans="1:17" x14ac:dyDescent="0.35">
      <c r="A18" s="45" t="s">
        <v>38</v>
      </c>
      <c r="B18" s="46"/>
      <c r="C18" s="46"/>
      <c r="D18" s="46"/>
      <c r="E18" s="46"/>
      <c r="F18" s="46"/>
      <c r="G18" s="46"/>
      <c r="H18" s="46"/>
      <c r="I18" s="46"/>
      <c r="J18" s="46"/>
    </row>
    <row r="19" spans="1:17" x14ac:dyDescent="0.35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spans="1:17" x14ac:dyDescent="0.35">
      <c r="A20" s="40" t="s">
        <v>39</v>
      </c>
      <c r="B20" s="40"/>
      <c r="C20" s="40"/>
      <c r="D20" s="40"/>
      <c r="E20" s="40"/>
      <c r="F20" s="40"/>
    </row>
    <row r="21" spans="1:17" x14ac:dyDescent="0.35">
      <c r="A21" s="45" t="s">
        <v>40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 spans="1:17" x14ac:dyDescent="0.3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</row>
    <row r="23" spans="1:17" x14ac:dyDescent="0.35">
      <c r="A23" s="40" t="s">
        <v>41</v>
      </c>
      <c r="B23" s="40"/>
      <c r="C23" s="40"/>
      <c r="D23" s="40"/>
      <c r="E23" s="40"/>
      <c r="F23" s="40"/>
      <c r="G23" s="40"/>
      <c r="H23" s="40"/>
    </row>
    <row r="24" spans="1:17" x14ac:dyDescent="0.35">
      <c r="A24" s="45" t="s">
        <v>42</v>
      </c>
      <c r="B24" s="46"/>
      <c r="C24" s="46"/>
      <c r="D24" s="46"/>
      <c r="E24" s="46"/>
      <c r="F24" s="46"/>
      <c r="G24" s="46"/>
      <c r="H24" s="46"/>
      <c r="I24" s="46"/>
    </row>
    <row r="25" spans="1:17" x14ac:dyDescent="0.35">
      <c r="A25" s="28"/>
      <c r="B25" s="28"/>
      <c r="C25" s="28"/>
      <c r="D25" s="28"/>
      <c r="E25" s="28"/>
      <c r="F25" s="28"/>
      <c r="G25" s="28"/>
      <c r="H25" s="28"/>
      <c r="I25" s="28"/>
    </row>
    <row r="26" spans="1:17" x14ac:dyDescent="0.35">
      <c r="A26" s="40" t="s">
        <v>43</v>
      </c>
      <c r="B26" s="40"/>
      <c r="C26" s="40"/>
      <c r="D26" s="40"/>
      <c r="E26" s="40"/>
    </row>
    <row r="27" spans="1:17" x14ac:dyDescent="0.35">
      <c r="A27" s="45" t="s">
        <v>44</v>
      </c>
      <c r="B27" s="46"/>
      <c r="C27" s="46"/>
      <c r="D27" s="46"/>
      <c r="E27" s="46"/>
      <c r="F27" s="46"/>
      <c r="G27" s="46"/>
    </row>
    <row r="28" spans="1:17" x14ac:dyDescent="0.35">
      <c r="A28" s="28"/>
      <c r="B28" s="28"/>
      <c r="C28" s="28"/>
      <c r="D28" s="28"/>
      <c r="E28" s="28"/>
      <c r="F28" s="28"/>
      <c r="G28" s="28"/>
    </row>
    <row r="29" spans="1:17" x14ac:dyDescent="0.35">
      <c r="A29" s="40" t="s">
        <v>45</v>
      </c>
      <c r="B29" s="40"/>
      <c r="C29" s="40"/>
      <c r="D29" s="40"/>
      <c r="E29" s="40"/>
      <c r="F29" s="40"/>
      <c r="G29" s="40"/>
      <c r="H29" s="40"/>
      <c r="I29" s="40"/>
    </row>
    <row r="30" spans="1:17" x14ac:dyDescent="0.35">
      <c r="A30" s="45" t="s">
        <v>46</v>
      </c>
      <c r="B30" s="46"/>
      <c r="C30" s="46"/>
      <c r="D30" s="46"/>
      <c r="E30" s="46"/>
      <c r="F30" s="46"/>
      <c r="G30" s="46"/>
      <c r="H30" s="46"/>
      <c r="I30" s="46"/>
      <c r="J30" s="46"/>
    </row>
    <row r="31" spans="1:17" x14ac:dyDescent="0.35">
      <c r="A31" s="28"/>
      <c r="B31" s="28"/>
      <c r="C31" s="28"/>
      <c r="D31" s="28"/>
      <c r="E31" s="28"/>
      <c r="F31" s="28"/>
      <c r="G31" s="28"/>
      <c r="H31" s="28"/>
      <c r="I31" s="28"/>
      <c r="J31" s="28"/>
    </row>
    <row r="32" spans="1:17" x14ac:dyDescent="0.35">
      <c r="A32" s="40" t="s">
        <v>47</v>
      </c>
      <c r="B32" s="40"/>
      <c r="C32" s="40"/>
      <c r="D32" s="40"/>
      <c r="E32" s="40"/>
    </row>
    <row r="33" spans="1:16" x14ac:dyDescent="0.35">
      <c r="A33" s="45" t="s">
        <v>48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</row>
    <row r="35" spans="1:16" s="29" customFormat="1" ht="18.5" x14ac:dyDescent="0.45">
      <c r="A35" s="43" t="s">
        <v>49</v>
      </c>
      <c r="B35" s="43"/>
      <c r="C35" s="43"/>
      <c r="D35" s="43"/>
    </row>
    <row r="36" spans="1:16" x14ac:dyDescent="0.35">
      <c r="A36" s="40" t="s">
        <v>50</v>
      </c>
      <c r="B36" s="40"/>
      <c r="C36" s="40"/>
      <c r="D36" s="40"/>
      <c r="E36" s="40"/>
      <c r="F36" s="40"/>
      <c r="G36" s="40"/>
    </row>
    <row r="37" spans="1:16" x14ac:dyDescent="0.35">
      <c r="A37" s="40" t="s">
        <v>51</v>
      </c>
      <c r="B37" s="40"/>
      <c r="C37" s="40"/>
      <c r="D37" s="40"/>
      <c r="E37" s="40"/>
      <c r="F37" s="40"/>
      <c r="G37" s="40"/>
      <c r="H37" s="40"/>
    </row>
    <row r="38" spans="1:16" x14ac:dyDescent="0.35">
      <c r="A38" s="40" t="s">
        <v>52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</row>
  </sheetData>
  <mergeCells count="26">
    <mergeCell ref="A37:H37"/>
    <mergeCell ref="A38:K38"/>
    <mergeCell ref="A29:I29"/>
    <mergeCell ref="A30:J30"/>
    <mergeCell ref="A32:E32"/>
    <mergeCell ref="A33:P33"/>
    <mergeCell ref="A35:D35"/>
    <mergeCell ref="A36:G36"/>
    <mergeCell ref="A27:G27"/>
    <mergeCell ref="A13:C13"/>
    <mergeCell ref="A14:N14"/>
    <mergeCell ref="A15:Q15"/>
    <mergeCell ref="A16:R16"/>
    <mergeCell ref="A17:F17"/>
    <mergeCell ref="A18:J18"/>
    <mergeCell ref="A20:F20"/>
    <mergeCell ref="A21:Q21"/>
    <mergeCell ref="A23:H23"/>
    <mergeCell ref="A24:I24"/>
    <mergeCell ref="A26:E26"/>
    <mergeCell ref="A11:D11"/>
    <mergeCell ref="A1:I1"/>
    <mergeCell ref="A2:I2"/>
    <mergeCell ref="A5:B5"/>
    <mergeCell ref="A6:J7"/>
    <mergeCell ref="A10:D10"/>
  </mergeCells>
  <hyperlinks>
    <hyperlink ref="A15" r:id="rId1" xr:uid="{242B0F07-8533-4EE0-9435-811AE1A172F6}"/>
    <hyperlink ref="A18" r:id="rId2" xr:uid="{0CF02B62-4F45-4226-BCB3-D5342D664C95}"/>
    <hyperlink ref="A21" r:id="rId3" xr:uid="{21C63E16-09B7-455C-8755-9B82E06AD74D}"/>
    <hyperlink ref="A24" r:id="rId4" xr:uid="{63BF8E51-5FDC-4E93-8117-19391D0A7CF5}"/>
    <hyperlink ref="A27" r:id="rId5" xr:uid="{A2467A57-DCCC-4168-A8D7-21A1D10CE164}"/>
    <hyperlink ref="A30" r:id="rId6" xr:uid="{E1175266-EC0F-4AC8-A160-2D5EF76BB2CA}"/>
    <hyperlink ref="A33" r:id="rId7" location="heading-Two" xr:uid="{29FA0476-F75F-4D52-ADF4-A006CCA3D1AE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18D5-F769-4378-8B72-16C35CDFA5D6}">
  <dimension ref="A1:P11"/>
  <sheetViews>
    <sheetView workbookViewId="0">
      <selection activeCell="J2" sqref="J2:J11"/>
    </sheetView>
  </sheetViews>
  <sheetFormatPr defaultColWidth="9.08984375" defaultRowHeight="15.5" x14ac:dyDescent="0.35"/>
  <cols>
    <col min="1" max="1" width="7.6328125" style="30" bestFit="1" customWidth="1"/>
    <col min="2" max="2" width="13.81640625" style="30" customWidth="1"/>
    <col min="3" max="3" width="10.453125" style="7" customWidth="1"/>
    <col min="4" max="4" width="11.81640625" style="7" customWidth="1"/>
    <col min="5" max="5" width="7.90625" style="30" customWidth="1"/>
    <col min="6" max="6" width="9.81640625" style="30" customWidth="1"/>
    <col min="7" max="7" width="9.1796875" style="30" customWidth="1"/>
    <col min="8" max="8" width="6.54296875" style="30" customWidth="1"/>
    <col min="9" max="9" width="13.36328125" style="7" customWidth="1"/>
    <col min="10" max="10" width="29.36328125" style="30" bestFit="1" customWidth="1"/>
    <col min="11" max="11" width="9.6328125" style="30" customWidth="1"/>
    <col min="12" max="12" width="10.453125" style="7" customWidth="1"/>
    <col min="13" max="13" width="9.81640625" style="30" customWidth="1"/>
    <col min="14" max="14" width="12.7265625" style="7" customWidth="1"/>
    <col min="15" max="16" width="9.08984375" style="30"/>
    <col min="17" max="17" width="15" style="30" customWidth="1"/>
    <col min="18" max="18" width="11.6328125" style="30" bestFit="1" customWidth="1"/>
    <col min="19" max="19" width="7.81640625" style="30" customWidth="1"/>
    <col min="20" max="16384" width="9.08984375" style="30"/>
  </cols>
  <sheetData>
    <row r="1" spans="1:16" x14ac:dyDescent="0.35">
      <c r="A1" s="30" t="s">
        <v>1</v>
      </c>
      <c r="B1" s="31" t="s">
        <v>15</v>
      </c>
      <c r="C1" s="7" t="s">
        <v>18</v>
      </c>
      <c r="D1" s="7" t="s">
        <v>53</v>
      </c>
      <c r="E1" s="30" t="s">
        <v>19</v>
      </c>
      <c r="F1" s="30" t="s">
        <v>24</v>
      </c>
      <c r="G1" s="30" t="s">
        <v>23</v>
      </c>
      <c r="H1" s="30" t="s">
        <v>54</v>
      </c>
      <c r="I1" s="32" t="s">
        <v>14</v>
      </c>
      <c r="J1" s="4" t="s">
        <v>20</v>
      </c>
      <c r="K1" s="2" t="s">
        <v>16</v>
      </c>
      <c r="L1" s="4" t="s">
        <v>55</v>
      </c>
      <c r="M1" s="2" t="s">
        <v>21</v>
      </c>
      <c r="N1" s="4" t="s">
        <v>22</v>
      </c>
      <c r="O1" s="33" t="s">
        <v>25</v>
      </c>
      <c r="P1" s="14" t="s">
        <v>26</v>
      </c>
    </row>
    <row r="2" spans="1:16" x14ac:dyDescent="0.35">
      <c r="A2" s="30" t="s">
        <v>2</v>
      </c>
      <c r="B2" s="34">
        <v>54808700</v>
      </c>
      <c r="C2" s="7">
        <v>3085065</v>
      </c>
      <c r="D2" s="7">
        <v>629050</v>
      </c>
      <c r="E2" s="12">
        <f>Table2[[#This Row],[MRI Brain Scans (NHS)]]/Table2[[#This Row],[MRI  Scans (NHS)]]</f>
        <v>0.20390170061246685</v>
      </c>
      <c r="F2" s="7">
        <f>Table2[[#This Row],[MRI Brain Scans (NHS)]]*5.8%</f>
        <v>36484.899999999994</v>
      </c>
      <c r="G2" s="7">
        <f>Table2[[#This Row],[MRI Brain Scans (NHS)]]+Table2[[#This Row],[Private Brain Scans]]</f>
        <v>665534.9</v>
      </c>
      <c r="H2" s="35">
        <v>3932.2956599999998</v>
      </c>
      <c r="I2" s="7">
        <f>D2/H2</f>
        <v>159.97016867241362</v>
      </c>
      <c r="J2" s="11">
        <v>179933</v>
      </c>
      <c r="K2" s="7">
        <f>Table2[[#This Row],[Patient Waiting List (MRI)]]*Table2[[#This Row],[MRI Brain %]]</f>
        <v>36688.644696302996</v>
      </c>
      <c r="L2" s="36">
        <v>3148</v>
      </c>
      <c r="M2" s="7">
        <f>Table2[[#This Row],[MRI 6+ Week Waiters]]*Table2[[#This Row],[MRI Brain %]]</f>
        <v>641.88255352804561</v>
      </c>
      <c r="N2" s="12">
        <f>Table2[[#This Row],[Brain 6+ Week Waiters]]/Table2[[#This Row],[Brain Patients Waiting List]]</f>
        <v>1.7495401065952328E-2</v>
      </c>
      <c r="O2" s="13">
        <v>419073</v>
      </c>
      <c r="P2" s="14">
        <v>20.04</v>
      </c>
    </row>
    <row r="3" spans="1:16" x14ac:dyDescent="0.35">
      <c r="A3" s="30" t="s">
        <v>3</v>
      </c>
      <c r="B3" s="34">
        <v>55289000</v>
      </c>
      <c r="C3" s="7">
        <v>3358485</v>
      </c>
      <c r="D3" s="7">
        <v>686365</v>
      </c>
      <c r="E3" s="12">
        <f>Table2[[#This Row],[MRI Brain Scans (NHS)]]/Table2[[#This Row],[MRI  Scans (NHS)]]</f>
        <v>0.20436744544042923</v>
      </c>
      <c r="F3" s="7">
        <f>Table2[[#This Row],[MRI Brain Scans (NHS)]]*5.8%</f>
        <v>39809.17</v>
      </c>
      <c r="G3" s="7">
        <f>Table2[[#This Row],[MRI Brain Scans (NHS)]]+Table2[[#This Row],[Private Brain Scans]]</f>
        <v>726174.17</v>
      </c>
      <c r="H3" s="35">
        <v>4041.3272799999995</v>
      </c>
      <c r="I3" s="7">
        <f t="shared" ref="I3:I11" si="0">D3/H3</f>
        <v>169.83652954729271</v>
      </c>
      <c r="J3" s="11">
        <v>190534</v>
      </c>
      <c r="K3" s="7">
        <f>Table2[[#This Row],[Patient Waiting List (MRI)]]*Table2[[#This Row],[MRI Brain %]]</f>
        <v>38938.946849546744</v>
      </c>
      <c r="L3" s="36">
        <v>1329</v>
      </c>
      <c r="M3" s="7">
        <f>Table2[[#This Row],[MRI 6+ Week Waiters]]*Table2[[#This Row],[MRI Brain %]]</f>
        <v>271.60433499033047</v>
      </c>
      <c r="N3" s="12">
        <f>Table2[[#This Row],[Brain 6+ Week Waiters]]/Table2[[#This Row],[Brain Patients Waiting List]]</f>
        <v>6.9751330471201998E-3</v>
      </c>
      <c r="O3" s="13">
        <v>436805</v>
      </c>
      <c r="P3" s="14">
        <v>20.350000000000001</v>
      </c>
    </row>
    <row r="4" spans="1:16" x14ac:dyDescent="0.35">
      <c r="A4" s="30" t="s">
        <v>4</v>
      </c>
      <c r="B4" s="34">
        <v>55619500</v>
      </c>
      <c r="C4" s="7">
        <v>3464010</v>
      </c>
      <c r="D4" s="7">
        <v>717650</v>
      </c>
      <c r="E4" s="12">
        <f>Table2[[#This Row],[MRI Brain Scans (NHS)]]/Table2[[#This Row],[MRI  Scans (NHS)]]</f>
        <v>0.20717318945384106</v>
      </c>
      <c r="F4" s="7">
        <f>Table2[[#This Row],[MRI Brain Scans (NHS)]]*5.8%</f>
        <v>41623.699999999997</v>
      </c>
      <c r="G4" s="7">
        <f>Table2[[#This Row],[MRI Brain Scans (NHS)]]+Table2[[#This Row],[Private Brain Scans]]</f>
        <v>759273.7</v>
      </c>
      <c r="H4" s="35">
        <v>4204.1655099999998</v>
      </c>
      <c r="I4" s="7">
        <f t="shared" si="0"/>
        <v>170.69974963949505</v>
      </c>
      <c r="J4" s="11">
        <v>197977</v>
      </c>
      <c r="K4" s="7">
        <f>Table2[[#This Row],[Patient Waiting List (MRI)]]*Table2[[#This Row],[MRI Brain %]]</f>
        <v>41015.526528503091</v>
      </c>
      <c r="L4" s="36">
        <v>3657</v>
      </c>
      <c r="M4" s="7">
        <f>Table2[[#This Row],[MRI 6+ Week Waiters]]*Table2[[#This Row],[MRI Brain %]]</f>
        <v>757.63235383269671</v>
      </c>
      <c r="N4" s="12">
        <f>Table2[[#This Row],[Brain 6+ Week Waiters]]/Table2[[#This Row],[Brain Patients Waiting List]]</f>
        <v>1.8471842688797181E-2</v>
      </c>
      <c r="O4" s="13">
        <v>448497</v>
      </c>
      <c r="P4" s="14">
        <v>20.65</v>
      </c>
    </row>
    <row r="5" spans="1:16" x14ac:dyDescent="0.35">
      <c r="A5" s="30" t="s">
        <v>5</v>
      </c>
      <c r="B5" s="34">
        <v>55924500</v>
      </c>
      <c r="C5" s="7">
        <v>3743995</v>
      </c>
      <c r="D5" s="7">
        <v>774845</v>
      </c>
      <c r="E5" s="12">
        <f>Table2[[#This Row],[MRI Brain Scans (NHS)]]/Table2[[#This Row],[MRI  Scans (NHS)]]</f>
        <v>0.20695674005974901</v>
      </c>
      <c r="F5" s="7">
        <f>Table2[[#This Row],[MRI Brain Scans (NHS)]]*5.8%</f>
        <v>44941.009999999995</v>
      </c>
      <c r="G5" s="7">
        <f>Table2[[#This Row],[MRI Brain Scans (NHS)]]+Table2[[#This Row],[Private Brain Scans]]</f>
        <v>819786.01</v>
      </c>
      <c r="H5" s="37">
        <v>4384.8374599999997</v>
      </c>
      <c r="I5" s="7">
        <f t="shared" si="0"/>
        <v>176.71008493892953</v>
      </c>
      <c r="J5" s="11">
        <v>213049</v>
      </c>
      <c r="K5" s="7">
        <f>Table2[[#This Row],[Patient Waiting List (MRI)]]*Table2[[#This Row],[MRI Brain %]]</f>
        <v>44091.92651298947</v>
      </c>
      <c r="L5" s="36">
        <v>4301</v>
      </c>
      <c r="M5" s="7">
        <f>Table2[[#This Row],[MRI 6+ Week Waiters]]*Table2[[#This Row],[MRI Brain %]]</f>
        <v>890.1209389969805</v>
      </c>
      <c r="N5" s="12">
        <f>Table2[[#This Row],[Brain 6+ Week Waiters]]/Table2[[#This Row],[Brain Patients Waiting List]]</f>
        <v>2.0187844110979163E-2</v>
      </c>
      <c r="O5" s="13">
        <v>458562</v>
      </c>
      <c r="P5" s="14">
        <v>20.95</v>
      </c>
    </row>
    <row r="6" spans="1:16" x14ac:dyDescent="0.35">
      <c r="A6" s="30" t="s">
        <v>6</v>
      </c>
      <c r="B6" s="34">
        <v>56230100</v>
      </c>
      <c r="C6" s="7">
        <v>3811415</v>
      </c>
      <c r="D6" s="7">
        <v>802490</v>
      </c>
      <c r="E6" s="12">
        <f>Table2[[#This Row],[MRI Brain Scans (NHS)]]/Table2[[#This Row],[MRI  Scans (NHS)]]</f>
        <v>0.2105491005309052</v>
      </c>
      <c r="F6" s="7">
        <f>Table2[[#This Row],[MRI Brain Scans (NHS)]]*5.8%</f>
        <v>46544.42</v>
      </c>
      <c r="G6" s="7">
        <f>Table2[[#This Row],[MRI Brain Scans (NHS)]]+Table2[[#This Row],[Private Brain Scans]]</f>
        <v>849034.42</v>
      </c>
      <c r="H6" s="37">
        <v>4614.8932700000005</v>
      </c>
      <c r="I6" s="7">
        <f t="shared" si="0"/>
        <v>173.89134548717308</v>
      </c>
      <c r="J6" s="11">
        <v>160852</v>
      </c>
      <c r="K6" s="7">
        <f>Table2[[#This Row],[Patient Waiting List (MRI)]]*Table2[[#This Row],[MRI Brain %]]</f>
        <v>33867.24391859716</v>
      </c>
      <c r="L6" s="36">
        <v>15710</v>
      </c>
      <c r="M6" s="7">
        <f>Table2[[#This Row],[MRI 6+ Week Waiters]]*Table2[[#This Row],[MRI Brain %]]</f>
        <v>3307.7263693405207</v>
      </c>
      <c r="N6" s="12">
        <f>Table2[[#This Row],[Brain 6+ Week Waiters]]/Table2[[#This Row],[Brain Patients Waiting List]]</f>
        <v>9.7667420983264128E-2</v>
      </c>
      <c r="O6" s="13">
        <v>469025</v>
      </c>
      <c r="P6" s="14">
        <v>21.26</v>
      </c>
    </row>
    <row r="7" spans="1:16" x14ac:dyDescent="0.35">
      <c r="A7" s="30" t="s">
        <v>7</v>
      </c>
      <c r="B7" s="34">
        <v>56326000</v>
      </c>
      <c r="C7" s="7">
        <v>3008970</v>
      </c>
      <c r="D7" s="7">
        <v>689780</v>
      </c>
      <c r="E7" s="12">
        <f>Table2[[#This Row],[MRI Brain Scans (NHS)]]/Table2[[#This Row],[MRI  Scans (NHS)]]</f>
        <v>0.2292412353729017</v>
      </c>
      <c r="F7" s="7">
        <f>Table2[[#This Row],[MRI Brain Scans (NHS)]]*5.8%</f>
        <v>40007.24</v>
      </c>
      <c r="G7" s="7">
        <f>Table2[[#This Row],[MRI Brain Scans (NHS)]]+Table2[[#This Row],[Private Brain Scans]]</f>
        <v>729787.24</v>
      </c>
      <c r="H7" s="37">
        <v>4816.5206799999996</v>
      </c>
      <c r="I7" s="7">
        <f t="shared" si="0"/>
        <v>143.21126095528362</v>
      </c>
      <c r="J7" s="11">
        <v>224841</v>
      </c>
      <c r="K7" s="7">
        <f>Table2[[#This Row],[Patient Waiting List (MRI)]]*Table2[[#This Row],[MRI Brain %]]</f>
        <v>51542.828602478592</v>
      </c>
      <c r="L7" s="36">
        <v>38185</v>
      </c>
      <c r="M7" s="7">
        <f>Table2[[#This Row],[MRI 6+ Week Waiters]]*Table2[[#This Row],[MRI Brain %]]</f>
        <v>8753.5765727142516</v>
      </c>
      <c r="N7" s="12">
        <f>Table2[[#This Row],[Brain 6+ Week Waiters]]/Table2[[#This Row],[Brain Patients Waiting List]]</f>
        <v>0.16983112510618614</v>
      </c>
      <c r="O7" s="13">
        <v>474537</v>
      </c>
      <c r="P7" s="14">
        <v>21.56</v>
      </c>
    </row>
    <row r="8" spans="1:16" x14ac:dyDescent="0.35">
      <c r="A8" s="30" t="s">
        <v>8</v>
      </c>
      <c r="B8" s="34">
        <v>56554900</v>
      </c>
      <c r="C8" s="7">
        <v>3845155</v>
      </c>
      <c r="D8" s="7">
        <v>837395</v>
      </c>
      <c r="E8" s="12">
        <f>Table2[[#This Row],[MRI Brain Scans (NHS)]]/Table2[[#This Row],[MRI  Scans (NHS)]]</f>
        <v>0.21777925727311384</v>
      </c>
      <c r="F8" s="7">
        <f>Table2[[#This Row],[MRI Brain Scans (NHS)]]*5.8%</f>
        <v>48568.909999999996</v>
      </c>
      <c r="G8" s="7">
        <f>Table2[[#This Row],[MRI Brain Scans (NHS)]]+Table2[[#This Row],[Private Brain Scans]]</f>
        <v>885963.91</v>
      </c>
      <c r="H8" s="37">
        <v>5080.7748899999997</v>
      </c>
      <c r="I8" s="7">
        <f t="shared" si="0"/>
        <v>164.81639476847596</v>
      </c>
      <c r="J8" s="11">
        <v>302825</v>
      </c>
      <c r="K8" s="7">
        <f>Table2[[#This Row],[Patient Waiting List (MRI)]]*Table2[[#This Row],[MRI Brain %]]</f>
        <v>65949.003583730693</v>
      </c>
      <c r="L8" s="36">
        <v>68709</v>
      </c>
      <c r="M8" s="7">
        <f>Table2[[#This Row],[MRI 6+ Week Waiters]]*Table2[[#This Row],[MRI Brain %]]</f>
        <v>14963.39498797838</v>
      </c>
      <c r="N8" s="12">
        <f>Table2[[#This Row],[Brain 6+ Week Waiters]]/Table2[[#This Row],[Brain Patients Waiting List]]</f>
        <v>0.22689342029224802</v>
      </c>
      <c r="O8" s="13">
        <v>430857</v>
      </c>
      <c r="P8" s="14">
        <v>21.86</v>
      </c>
    </row>
    <row r="9" spans="1:16" x14ac:dyDescent="0.35">
      <c r="A9" s="30" t="s">
        <v>9</v>
      </c>
      <c r="B9" s="34">
        <v>57112500</v>
      </c>
      <c r="C9" s="7">
        <v>4084055</v>
      </c>
      <c r="D9" s="7">
        <v>882125</v>
      </c>
      <c r="E9" s="12">
        <f>Table2[[#This Row],[MRI Brain Scans (NHS)]]/Table2[[#This Row],[MRI  Scans (NHS)]]</f>
        <v>0.21599243888733133</v>
      </c>
      <c r="F9" s="7">
        <f>Table2[[#This Row],[MRI Brain Scans (NHS)]]*5.8%</f>
        <v>51163.25</v>
      </c>
      <c r="G9" s="7">
        <f>Table2[[#This Row],[MRI Brain Scans (NHS)]]+Table2[[#This Row],[Private Brain Scans]]</f>
        <v>933288.25</v>
      </c>
      <c r="H9" s="37">
        <v>5350.1616999999997</v>
      </c>
      <c r="I9" s="7">
        <f t="shared" si="0"/>
        <v>164.87819424224134</v>
      </c>
      <c r="J9" s="11">
        <v>301866</v>
      </c>
      <c r="K9" s="7">
        <f>Table2[[#This Row],[Patient Waiting List (MRI)]]*Table2[[#This Row],[MRI Brain %]]</f>
        <v>65200.773557163157</v>
      </c>
      <c r="L9" s="36">
        <v>62553</v>
      </c>
      <c r="M9" s="7">
        <f>Table2[[#This Row],[MRI 6+ Week Waiters]]*Table2[[#This Row],[MRI Brain %]]</f>
        <v>13510.975029719237</v>
      </c>
      <c r="N9" s="12">
        <f>Table2[[#This Row],[Brain 6+ Week Waiters]]/Table2[[#This Row],[Brain Patients Waiting List]]</f>
        <v>0.20722108485221921</v>
      </c>
      <c r="O9" s="13">
        <v>443902</v>
      </c>
      <c r="P9" s="14">
        <v>22.17</v>
      </c>
    </row>
    <row r="10" spans="1:16" x14ac:dyDescent="0.35">
      <c r="A10" s="30" t="s">
        <v>10</v>
      </c>
      <c r="B10" s="34">
        <v>57690300</v>
      </c>
      <c r="C10" s="7">
        <v>4415475</v>
      </c>
      <c r="D10" s="7">
        <v>953500</v>
      </c>
      <c r="E10" s="12">
        <f>Table2[[#This Row],[MRI Brain Scans (NHS)]]/Table2[[#This Row],[MRI  Scans (NHS)]]</f>
        <v>0.21594505687383578</v>
      </c>
      <c r="F10" s="7">
        <f>Table2[[#This Row],[MRI Brain Scans (NHS)]]*5.8%</f>
        <v>55302.999999999993</v>
      </c>
      <c r="G10" s="7">
        <f>Table2[[#This Row],[MRI Brain Scans (NHS)]]+Table2[[#This Row],[Private Brain Scans]]</f>
        <v>1008803</v>
      </c>
      <c r="H10" s="37">
        <v>5628.0509000000002</v>
      </c>
      <c r="I10" s="7">
        <f t="shared" si="0"/>
        <v>169.41922113746341</v>
      </c>
      <c r="J10" s="11">
        <v>310208</v>
      </c>
      <c r="K10" s="7">
        <f>Table2[[#This Row],[Patient Waiting List (MRI)]]*Table2[[#This Row],[MRI Brain %]]</f>
        <v>66987.884202718851</v>
      </c>
      <c r="L10" s="36">
        <v>57411</v>
      </c>
      <c r="M10" s="7">
        <f>Table2[[#This Row],[MRI 6+ Week Waiters]]*Table2[[#This Row],[MRI Brain %]]</f>
        <v>12397.621660183786</v>
      </c>
      <c r="N10" s="12">
        <f>Table2[[#This Row],[Brain 6+ Week Waiters]]/Table2[[#This Row],[Brain Patients Waiting List]]</f>
        <v>0.18507259645141325</v>
      </c>
      <c r="O10" s="13">
        <v>479540</v>
      </c>
      <c r="P10" s="14">
        <v>22.47</v>
      </c>
    </row>
    <row r="11" spans="1:16" x14ac:dyDescent="0.35">
      <c r="A11" s="30" t="s">
        <v>11</v>
      </c>
      <c r="B11" s="38">
        <v>58382600</v>
      </c>
      <c r="C11" s="20">
        <v>4760700</v>
      </c>
      <c r="D11" s="21">
        <v>1014655</v>
      </c>
      <c r="E11" s="12">
        <f>Table2[[#This Row],[MRI Brain Scans (NHS)]]/Table2[[#This Row],[MRI  Scans (NHS)]]</f>
        <v>0.21313147226248241</v>
      </c>
      <c r="F11" s="7">
        <f>Table2[[#This Row],[MRI Brain Scans (NHS)]]*5.8%</f>
        <v>58849.99</v>
      </c>
      <c r="G11" s="7">
        <f>Table2[[#This Row],[MRI Brain Scans (NHS)]]+Table2[[#This Row],[Private Brain Scans]]</f>
        <v>1073504.99</v>
      </c>
      <c r="H11" s="39">
        <v>5844.6102199999996</v>
      </c>
      <c r="I11" s="7">
        <f t="shared" si="0"/>
        <v>173.60524685254376</v>
      </c>
      <c r="J11" s="11">
        <v>331280</v>
      </c>
      <c r="K11" s="7">
        <f>Table2[[#This Row],[Patient Waiting List (MRI)]]*Table2[[#This Row],[MRI Brain %]]</f>
        <v>70606.194131115175</v>
      </c>
      <c r="L11" s="36">
        <v>45529</v>
      </c>
      <c r="M11" s="7">
        <f>Table2[[#This Row],[MRI 6+ Week Waiters]]*Table2[[#This Row],[MRI Brain %]]</f>
        <v>9703.6628006385617</v>
      </c>
      <c r="N11" s="12">
        <f>Table2[[#This Row],[Brain 6+ Week Waiters]]/Table2[[#This Row],[Brain Patients Waiting List]]</f>
        <v>0.13743359092006763</v>
      </c>
      <c r="O11" s="23">
        <v>498221</v>
      </c>
      <c r="P11" s="14">
        <v>22.77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D25F-5B3B-47C5-B3C6-2DB5EDCEA913}">
  <dimension ref="A1:Q123"/>
  <sheetViews>
    <sheetView tabSelected="1" workbookViewId="0">
      <selection activeCell="E9" sqref="E9"/>
    </sheetView>
  </sheetViews>
  <sheetFormatPr defaultColWidth="9.08984375" defaultRowHeight="15.5" x14ac:dyDescent="0.35"/>
  <cols>
    <col min="1" max="1" width="11.6328125" style="30" bestFit="1" customWidth="1"/>
    <col min="2" max="2" width="12.7265625" style="7" customWidth="1"/>
    <col min="3" max="3" width="10.6328125" style="7" customWidth="1"/>
    <col min="4" max="4" width="8.6328125" style="7" customWidth="1"/>
    <col min="5" max="5" width="10.08984375" style="7" customWidth="1"/>
    <col min="6" max="6" width="6.81640625" style="7" customWidth="1"/>
    <col min="7" max="7" width="9.08984375" style="30" customWidth="1"/>
    <col min="8" max="8" width="11.6328125" style="7" customWidth="1"/>
    <col min="9" max="9" width="7.08984375" style="7" customWidth="1"/>
    <col min="10" max="10" width="10.26953125" style="7" customWidth="1"/>
    <col min="11" max="11" width="9.81640625" style="7" customWidth="1"/>
    <col min="12" max="12" width="10.54296875" style="7" customWidth="1"/>
    <col min="13" max="13" width="7.81640625" style="30" customWidth="1"/>
    <col min="14" max="14" width="7.36328125" style="7" customWidth="1"/>
    <col min="15" max="16" width="9.08984375" style="30"/>
    <col min="17" max="17" width="11.54296875" style="7" customWidth="1"/>
    <col min="18" max="18" width="7.81640625" style="30" customWidth="1"/>
    <col min="19" max="16384" width="9.08984375" style="30"/>
  </cols>
  <sheetData>
    <row r="1" spans="1:17" x14ac:dyDescent="0.35">
      <c r="A1" s="1" t="s">
        <v>0</v>
      </c>
      <c r="B1" s="2" t="s">
        <v>15</v>
      </c>
      <c r="C1" s="2" t="s">
        <v>56</v>
      </c>
      <c r="D1" s="3" t="s">
        <v>53</v>
      </c>
      <c r="E1" s="2" t="s">
        <v>19</v>
      </c>
      <c r="F1" s="2" t="s">
        <v>24</v>
      </c>
      <c r="G1" s="4" t="s">
        <v>23</v>
      </c>
      <c r="H1" s="2" t="s">
        <v>12</v>
      </c>
      <c r="I1" s="2" t="s">
        <v>13</v>
      </c>
      <c r="J1" s="2" t="s">
        <v>20</v>
      </c>
      <c r="K1" s="2" t="s">
        <v>16</v>
      </c>
      <c r="L1" s="2" t="s">
        <v>17</v>
      </c>
      <c r="M1" s="2" t="s">
        <v>21</v>
      </c>
      <c r="N1" s="4" t="s">
        <v>22</v>
      </c>
      <c r="O1" s="5" t="s">
        <v>25</v>
      </c>
      <c r="P1" s="4" t="s">
        <v>26</v>
      </c>
      <c r="Q1" s="30"/>
    </row>
    <row r="2" spans="1:17" x14ac:dyDescent="0.35">
      <c r="A2" s="6">
        <v>42095</v>
      </c>
      <c r="B2" s="7">
        <v>54808700</v>
      </c>
      <c r="C2" s="8">
        <v>238620</v>
      </c>
      <c r="D2" s="9">
        <v>49395</v>
      </c>
      <c r="E2" s="10">
        <f>Table1[[#This Row],[MRI Brain Scans (NHS)]]/Table1[[#This Row],[MRI Scans (NHS)]]</f>
        <v>0.2070027659039477</v>
      </c>
      <c r="F2" s="7">
        <f>Table1[[#This Row],[MRI Brain Scans (NHS)]]*5.8%</f>
        <v>2864.91</v>
      </c>
      <c r="G2" s="7">
        <f>Table1[[#This Row],[MRI Brain Scans (NHS)]]+Table1[[#This Row],[Private Brain Scans]]</f>
        <v>52259.91</v>
      </c>
      <c r="H2" s="9">
        <v>3760.5048700000002</v>
      </c>
      <c r="I2" s="7">
        <v>13.135204369513287</v>
      </c>
      <c r="J2" s="11">
        <v>164838</v>
      </c>
      <c r="K2" s="11">
        <f>Table1[[#This Row],[Patient Waiting List (MRI)]]*Table1[[#This Row],[MRI Brain %]]</f>
        <v>34121.921926074931</v>
      </c>
      <c r="L2" s="11">
        <v>1574</v>
      </c>
      <c r="M2" s="7">
        <f>Table1[[#This Row],[MRI 6+ Week Waiter]]*Table1[[#This Row],[MRI Brain %]]</f>
        <v>325.82235353281368</v>
      </c>
      <c r="N2" s="12">
        <f>Table1[[#This Row],[Brain 6+ Week Waiters]]/Table1[[#This Row],[Brain Patients Waiting List]]</f>
        <v>9.5487690945049077E-3</v>
      </c>
      <c r="O2" s="13">
        <v>410124</v>
      </c>
      <c r="P2" s="14">
        <v>20.04</v>
      </c>
      <c r="Q2" s="30"/>
    </row>
    <row r="3" spans="1:17" x14ac:dyDescent="0.35">
      <c r="A3" s="6">
        <v>42125</v>
      </c>
      <c r="B3" s="7">
        <v>54808700</v>
      </c>
      <c r="C3" s="8">
        <v>239170</v>
      </c>
      <c r="D3" s="9">
        <v>48740</v>
      </c>
      <c r="E3" s="10">
        <f>Table1[[#This Row],[MRI Brain Scans (NHS)]]/Table1[[#This Row],[MRI Scans (NHS)]]</f>
        <v>0.20378810051427854</v>
      </c>
      <c r="F3" s="7">
        <f>Table1[[#This Row],[MRI Brain Scans (NHS)]]*5.8%</f>
        <v>2826.9199999999996</v>
      </c>
      <c r="G3" s="7">
        <f>Table1[[#This Row],[MRI Brain Scans (NHS)]]+Table1[[#This Row],[Private Brain Scans]]</f>
        <v>51566.92</v>
      </c>
      <c r="H3" s="9">
        <v>3766.88787</v>
      </c>
      <c r="I3" s="7">
        <v>12.939063142328152</v>
      </c>
      <c r="J3" s="11">
        <v>164769</v>
      </c>
      <c r="K3" s="11">
        <f>Table1[[#This Row],[Patient Waiting List (MRI)]]*Table1[[#This Row],[MRI Brain %]]</f>
        <v>33577.961533637157</v>
      </c>
      <c r="L3" s="11">
        <v>1718</v>
      </c>
      <c r="M3" s="7">
        <f>Table1[[#This Row],[MRI 6+ Week Waiter]]*Table1[[#This Row],[MRI Brain %]]</f>
        <v>350.10795668353052</v>
      </c>
      <c r="N3" s="12">
        <f>Table1[[#This Row],[Brain 6+ Week Waiters]]/Table1[[#This Row],[Brain Patients Waiting List]]</f>
        <v>1.0426718618186673E-2</v>
      </c>
      <c r="O3" s="15">
        <v>396723</v>
      </c>
      <c r="P3" s="14">
        <v>20.04</v>
      </c>
      <c r="Q3" s="30"/>
    </row>
    <row r="4" spans="1:17" x14ac:dyDescent="0.35">
      <c r="A4" s="6">
        <v>42156</v>
      </c>
      <c r="B4" s="7">
        <v>54808700</v>
      </c>
      <c r="C4" s="8">
        <v>252965</v>
      </c>
      <c r="D4" s="9">
        <v>52060</v>
      </c>
      <c r="E4" s="10">
        <f>Table1[[#This Row],[MRI Brain Scans (NHS)]]/Table1[[#This Row],[MRI Scans (NHS)]]</f>
        <v>0.20579922123613939</v>
      </c>
      <c r="F4" s="7">
        <f>Table1[[#This Row],[MRI Brain Scans (NHS)]]*5.8%</f>
        <v>3019.48</v>
      </c>
      <c r="G4" s="7">
        <f>Table1[[#This Row],[MRI Brain Scans (NHS)]]+Table1[[#This Row],[Private Brain Scans]]</f>
        <v>55079.48</v>
      </c>
      <c r="H4" s="9">
        <v>3770.9751200000001</v>
      </c>
      <c r="I4" s="7">
        <v>13.805447753789476</v>
      </c>
      <c r="J4" s="11">
        <v>174601</v>
      </c>
      <c r="K4" s="11">
        <f>Table1[[#This Row],[Patient Waiting List (MRI)]]*Table1[[#This Row],[MRI Brain %]]</f>
        <v>35932.749827051171</v>
      </c>
      <c r="L4" s="11">
        <v>1779</v>
      </c>
      <c r="M4" s="7">
        <f>Table1[[#This Row],[MRI 6+ Week Waiter]]*Table1[[#This Row],[MRI Brain %]]</f>
        <v>366.11681457909197</v>
      </c>
      <c r="N4" s="12">
        <f>Table1[[#This Row],[Brain 6+ Week Waiters]]/Table1[[#This Row],[Brain Patients Waiting List]]</f>
        <v>1.0188945080497822E-2</v>
      </c>
      <c r="O4" s="15">
        <v>417814</v>
      </c>
      <c r="P4" s="14">
        <v>20.04</v>
      </c>
      <c r="Q4" s="30"/>
    </row>
    <row r="5" spans="1:17" x14ac:dyDescent="0.35">
      <c r="A5" s="6">
        <v>42186</v>
      </c>
      <c r="B5" s="7">
        <v>54808700</v>
      </c>
      <c r="C5" s="8">
        <v>270940</v>
      </c>
      <c r="D5" s="9">
        <v>54055</v>
      </c>
      <c r="E5" s="10">
        <f>Table1[[#This Row],[MRI Brain Scans (NHS)]]/Table1[[#This Row],[MRI Scans (NHS)]]</f>
        <v>0.19950911640953717</v>
      </c>
      <c r="F5" s="7">
        <f>Table1[[#This Row],[MRI Brain Scans (NHS)]]*5.8%</f>
        <v>3135.1899999999996</v>
      </c>
      <c r="G5" s="7">
        <f>Table1[[#This Row],[MRI Brain Scans (NHS)]]+Table1[[#This Row],[Private Brain Scans]]</f>
        <v>57190.19</v>
      </c>
      <c r="H5" s="9">
        <v>3767.6038699999999</v>
      </c>
      <c r="I5" s="7">
        <v>14.347315127903826</v>
      </c>
      <c r="J5" s="11">
        <v>178862</v>
      </c>
      <c r="K5" s="11">
        <f>Table1[[#This Row],[Patient Waiting List (MRI)]]*Table1[[#This Row],[MRI Brain %]]</f>
        <v>35684.59957924264</v>
      </c>
      <c r="L5" s="11">
        <v>1598</v>
      </c>
      <c r="M5" s="7">
        <f>Table1[[#This Row],[MRI 6+ Week Waiter]]*Table1[[#This Row],[MRI Brain %]]</f>
        <v>318.8155680224404</v>
      </c>
      <c r="N5" s="12">
        <f>Table1[[#This Row],[Brain 6+ Week Waiters]]/Table1[[#This Row],[Brain Patients Waiting List]]</f>
        <v>8.9342621685992545E-3</v>
      </c>
      <c r="O5" s="15">
        <v>418473</v>
      </c>
      <c r="P5" s="14">
        <v>20.04</v>
      </c>
      <c r="Q5" s="30"/>
    </row>
    <row r="6" spans="1:17" x14ac:dyDescent="0.35">
      <c r="A6" s="6">
        <v>42217</v>
      </c>
      <c r="B6" s="7">
        <v>54808700</v>
      </c>
      <c r="C6" s="8">
        <v>249925</v>
      </c>
      <c r="D6" s="9">
        <v>50330</v>
      </c>
      <c r="E6" s="10">
        <f>Table1[[#This Row],[MRI Brain Scans (NHS)]]/Table1[[#This Row],[MRI Scans (NHS)]]</f>
        <v>0.20138041412423727</v>
      </c>
      <c r="F6" s="7">
        <f>Table1[[#This Row],[MRI Brain Scans (NHS)]]*5.8%</f>
        <v>2919.14</v>
      </c>
      <c r="G6" s="7">
        <f>Table1[[#This Row],[MRI Brain Scans (NHS)]]+Table1[[#This Row],[Private Brain Scans]]</f>
        <v>53249.14</v>
      </c>
      <c r="H6" s="9">
        <v>3860.7329600000003</v>
      </c>
      <c r="I6" s="7">
        <v>13.036384676551158</v>
      </c>
      <c r="J6" s="11">
        <v>161620</v>
      </c>
      <c r="K6" s="11">
        <f>Table1[[#This Row],[Patient Waiting List (MRI)]]*Table1[[#This Row],[MRI Brain %]]</f>
        <v>32547.102530759228</v>
      </c>
      <c r="L6" s="11">
        <v>2040</v>
      </c>
      <c r="M6" s="7">
        <f>Table1[[#This Row],[MRI 6+ Week Waiter]]*Table1[[#This Row],[MRI Brain %]]</f>
        <v>410.81604481344402</v>
      </c>
      <c r="N6" s="12">
        <f>Table1[[#This Row],[Brain 6+ Week Waiters]]/Table1[[#This Row],[Brain Patients Waiting List]]</f>
        <v>1.262220022274471E-2</v>
      </c>
      <c r="O6" s="15">
        <v>402525</v>
      </c>
      <c r="P6" s="14">
        <v>20.04</v>
      </c>
      <c r="Q6" s="30"/>
    </row>
    <row r="7" spans="1:17" x14ac:dyDescent="0.35">
      <c r="A7" s="6">
        <v>42248</v>
      </c>
      <c r="B7" s="7">
        <v>54808700</v>
      </c>
      <c r="C7" s="8">
        <v>256160</v>
      </c>
      <c r="D7" s="9">
        <v>51780</v>
      </c>
      <c r="E7" s="10">
        <f>Table1[[#This Row],[MRI Brain Scans (NHS)]]/Table1[[#This Row],[MRI Scans (NHS)]]</f>
        <v>0.20213928794503436</v>
      </c>
      <c r="F7" s="7">
        <f>Table1[[#This Row],[MRI Brain Scans (NHS)]]*5.8%</f>
        <v>3003.24</v>
      </c>
      <c r="G7" s="7">
        <f>Table1[[#This Row],[MRI Brain Scans (NHS)]]+Table1[[#This Row],[Private Brain Scans]]</f>
        <v>54783.24</v>
      </c>
      <c r="H7" s="9">
        <v>3937.3150100000003</v>
      </c>
      <c r="I7" s="7">
        <v>13.1510940497494</v>
      </c>
      <c r="J7" s="11">
        <v>174142</v>
      </c>
      <c r="K7" s="11">
        <f>Table1[[#This Row],[Patient Waiting List (MRI)]]*Table1[[#This Row],[MRI Brain %]]</f>
        <v>35200.939881324171</v>
      </c>
      <c r="L7" s="11">
        <v>1947</v>
      </c>
      <c r="M7" s="7">
        <f>Table1[[#This Row],[MRI 6+ Week Waiter]]*Table1[[#This Row],[MRI Brain %]]</f>
        <v>393.56519362898189</v>
      </c>
      <c r="N7" s="12">
        <f>Table1[[#This Row],[Brain 6+ Week Waiters]]/Table1[[#This Row],[Brain Patients Waiting List]]</f>
        <v>1.1180530831160777E-2</v>
      </c>
      <c r="O7" s="15">
        <v>414055</v>
      </c>
      <c r="P7" s="14">
        <v>20.04</v>
      </c>
      <c r="Q7" s="30"/>
    </row>
    <row r="8" spans="1:17" x14ac:dyDescent="0.35">
      <c r="A8" s="6">
        <v>42278</v>
      </c>
      <c r="B8" s="7">
        <v>54808700</v>
      </c>
      <c r="C8" s="8">
        <v>268595</v>
      </c>
      <c r="D8" s="9">
        <v>53805</v>
      </c>
      <c r="E8" s="10">
        <f>Table1[[#This Row],[MRI Brain Scans (NHS)]]/Table1[[#This Row],[MRI Scans (NHS)]]</f>
        <v>0.2003201846646438</v>
      </c>
      <c r="F8" s="7">
        <f>Table1[[#This Row],[MRI Brain Scans (NHS)]]*5.8%</f>
        <v>3120.6899999999996</v>
      </c>
      <c r="G8" s="7">
        <f>Table1[[#This Row],[MRI Brain Scans (NHS)]]+Table1[[#This Row],[Private Brain Scans]]</f>
        <v>56925.69</v>
      </c>
      <c r="H8" s="9">
        <v>3945.0982599999998</v>
      </c>
      <c r="I8" s="7">
        <v>13.638443570731241</v>
      </c>
      <c r="J8" s="11">
        <v>182780</v>
      </c>
      <c r="K8" s="11">
        <f>Table1[[#This Row],[Patient Waiting List (MRI)]]*Table1[[#This Row],[MRI Brain %]]</f>
        <v>36614.523353003591</v>
      </c>
      <c r="L8" s="11">
        <v>1854</v>
      </c>
      <c r="M8" s="7">
        <f>Table1[[#This Row],[MRI 6+ Week Waiter]]*Table1[[#This Row],[MRI Brain %]]</f>
        <v>371.39362236824962</v>
      </c>
      <c r="N8" s="12">
        <f>Table1[[#This Row],[Brain 6+ Week Waiters]]/Table1[[#This Row],[Brain Patients Waiting List]]</f>
        <v>1.0143341722289092E-2</v>
      </c>
      <c r="O8" s="15">
        <v>417955</v>
      </c>
      <c r="P8" s="14">
        <v>20.04</v>
      </c>
      <c r="Q8" s="30"/>
    </row>
    <row r="9" spans="1:17" x14ac:dyDescent="0.35">
      <c r="A9" s="6">
        <v>42309</v>
      </c>
      <c r="B9" s="7">
        <v>54808700</v>
      </c>
      <c r="C9" s="8">
        <v>267480</v>
      </c>
      <c r="D9" s="9">
        <v>53925</v>
      </c>
      <c r="E9" s="10">
        <f>Table1[[#This Row],[MRI Brain Scans (NHS)]]/Table1[[#This Row],[MRI Scans (NHS)]]</f>
        <v>0.20160385823239121</v>
      </c>
      <c r="F9" s="7">
        <f>Table1[[#This Row],[MRI Brain Scans (NHS)]]*5.8%</f>
        <v>3127.6499999999996</v>
      </c>
      <c r="G9" s="7">
        <f>Table1[[#This Row],[MRI Brain Scans (NHS)]]+Table1[[#This Row],[Private Brain Scans]]</f>
        <v>57052.65</v>
      </c>
      <c r="H9" s="9">
        <v>3954.0880299999999</v>
      </c>
      <c r="I9" s="7">
        <v>13.637784386909566</v>
      </c>
      <c r="J9" s="11">
        <v>184709</v>
      </c>
      <c r="K9" s="11">
        <f>Table1[[#This Row],[Patient Waiting List (MRI)]]*Table1[[#This Row],[MRI Brain %]]</f>
        <v>37238.047050246751</v>
      </c>
      <c r="L9" s="11">
        <v>1752</v>
      </c>
      <c r="M9" s="7">
        <f>Table1[[#This Row],[MRI 6+ Week Waiter]]*Table1[[#This Row],[MRI Brain %]]</f>
        <v>353.20995962314942</v>
      </c>
      <c r="N9" s="12">
        <f>Table1[[#This Row],[Brain 6+ Week Waiters]]/Table1[[#This Row],[Brain Patients Waiting List]]</f>
        <v>9.4851902181268908E-3</v>
      </c>
      <c r="O9" s="15">
        <v>422288</v>
      </c>
      <c r="P9" s="14">
        <v>20.04</v>
      </c>
      <c r="Q9" s="30"/>
    </row>
    <row r="10" spans="1:17" x14ac:dyDescent="0.35">
      <c r="A10" s="6">
        <v>42339</v>
      </c>
      <c r="B10" s="7">
        <v>54808700</v>
      </c>
      <c r="C10" s="7">
        <v>249735</v>
      </c>
      <c r="D10" s="9">
        <v>51330</v>
      </c>
      <c r="E10" s="10">
        <f>Table1[[#This Row],[MRI Brain Scans (NHS)]]/Table1[[#This Row],[MRI Scans (NHS)]]</f>
        <v>0.20553787014235089</v>
      </c>
      <c r="F10" s="7">
        <f>Table1[[#This Row],[MRI Brain Scans (NHS)]]*5.8%</f>
        <v>2977.14</v>
      </c>
      <c r="G10" s="7">
        <f>Table1[[#This Row],[MRI Brain Scans (NHS)]]+Table1[[#This Row],[Private Brain Scans]]</f>
        <v>54307.14</v>
      </c>
      <c r="H10" s="9">
        <v>3942.0206900000003</v>
      </c>
      <c r="I10" s="7">
        <v>13.021240636867383</v>
      </c>
      <c r="J10" s="11">
        <v>173857</v>
      </c>
      <c r="K10" s="11">
        <f>Table1[[#This Row],[Patient Waiting List (MRI)]]*Table1[[#This Row],[MRI Brain %]]</f>
        <v>35734.197489338701</v>
      </c>
      <c r="L10" s="11">
        <v>2678</v>
      </c>
      <c r="M10" s="7">
        <f>Table1[[#This Row],[MRI 6+ Week Waiter]]*Table1[[#This Row],[MRI Brain %]]</f>
        <v>550.43041624121565</v>
      </c>
      <c r="N10" s="12">
        <f>Table1[[#This Row],[Brain 6+ Week Waiters]]/Table1[[#This Row],[Brain Patients Waiting List]]</f>
        <v>1.5403463766198656E-2</v>
      </c>
      <c r="O10" s="15">
        <v>422733</v>
      </c>
      <c r="P10" s="14">
        <v>20.04</v>
      </c>
      <c r="Q10" s="30"/>
    </row>
    <row r="11" spans="1:17" x14ac:dyDescent="0.35">
      <c r="A11" s="6">
        <v>42370</v>
      </c>
      <c r="B11" s="7">
        <v>55289000</v>
      </c>
      <c r="C11" s="8">
        <v>265765</v>
      </c>
      <c r="D11" s="9">
        <v>54990</v>
      </c>
      <c r="E11" s="10">
        <f>Table1[[#This Row],[MRI Brain Scans (NHS)]]/Table1[[#This Row],[MRI Scans (NHS)]]</f>
        <v>0.20691212161119787</v>
      </c>
      <c r="F11" s="7">
        <f>Table1[[#This Row],[MRI Brain Scans (NHS)]]*5.8%</f>
        <v>3189.4199999999996</v>
      </c>
      <c r="G11" s="7">
        <f>Table1[[#This Row],[MRI Brain Scans (NHS)]]+Table1[[#This Row],[Private Brain Scans]]</f>
        <v>58179.42</v>
      </c>
      <c r="H11" s="9">
        <v>3958.5410000000002</v>
      </c>
      <c r="I11" s="7">
        <v>13.891481735316118</v>
      </c>
      <c r="J11" s="11">
        <v>172726</v>
      </c>
      <c r="K11" s="11">
        <f>Table1[[#This Row],[Patient Waiting List (MRI)]]*Table1[[#This Row],[MRI Brain %]]</f>
        <v>35739.103117415762</v>
      </c>
      <c r="L11" s="11">
        <v>3437</v>
      </c>
      <c r="M11" s="7">
        <f>Table1[[#This Row],[MRI 6+ Week Waiter]]*Table1[[#This Row],[MRI Brain %]]</f>
        <v>711.15696197768705</v>
      </c>
      <c r="N11" s="12">
        <f>Table1[[#This Row],[Brain 6+ Week Waiters]]/Table1[[#This Row],[Brain Patients Waiting List]]</f>
        <v>1.9898567673656543E-2</v>
      </c>
      <c r="O11" s="16">
        <v>416214</v>
      </c>
      <c r="P11" s="14">
        <v>20.04</v>
      </c>
      <c r="Q11" s="30"/>
    </row>
    <row r="12" spans="1:17" x14ac:dyDescent="0.35">
      <c r="A12" s="6">
        <v>42401</v>
      </c>
      <c r="B12" s="7">
        <v>55289000</v>
      </c>
      <c r="C12" s="8">
        <v>262350</v>
      </c>
      <c r="D12" s="9">
        <v>54135</v>
      </c>
      <c r="E12" s="10">
        <f>Table1[[#This Row],[MRI Brain Scans (NHS)]]/Table1[[#This Row],[MRI Scans (NHS)]]</f>
        <v>0.20634648370497427</v>
      </c>
      <c r="F12" s="7">
        <f>Table1[[#This Row],[MRI Brain Scans (NHS)]]*5.8%</f>
        <v>3139.83</v>
      </c>
      <c r="G12" s="7">
        <f>Table1[[#This Row],[MRI Brain Scans (NHS)]]+Table1[[#This Row],[Private Brain Scans]]</f>
        <v>57274.83</v>
      </c>
      <c r="H12" s="9">
        <v>3931.663</v>
      </c>
      <c r="I12" s="7">
        <v>13.76898274343452</v>
      </c>
      <c r="J12" s="11">
        <v>179847</v>
      </c>
      <c r="K12" s="11">
        <f>Table1[[#This Row],[Patient Waiting List (MRI)]]*Table1[[#This Row],[MRI Brain %]]</f>
        <v>37110.796054888509</v>
      </c>
      <c r="L12" s="11">
        <v>1907</v>
      </c>
      <c r="M12" s="7">
        <f>Table1[[#This Row],[MRI 6+ Week Waiter]]*Table1[[#This Row],[MRI Brain %]]</f>
        <v>393.50274442538591</v>
      </c>
      <c r="N12" s="12">
        <f>Table1[[#This Row],[Brain 6+ Week Waiters]]/Table1[[#This Row],[Brain Patients Waiting List]]</f>
        <v>1.060345738322018E-2</v>
      </c>
      <c r="O12" s="16">
        <v>425555</v>
      </c>
      <c r="P12" s="14">
        <v>20.04</v>
      </c>
      <c r="Q12" s="30"/>
    </row>
    <row r="13" spans="1:17" x14ac:dyDescent="0.35">
      <c r="A13" s="6">
        <v>42430</v>
      </c>
      <c r="B13" s="7">
        <v>55289000</v>
      </c>
      <c r="C13" s="8">
        <v>263115</v>
      </c>
      <c r="D13" s="9">
        <v>54550</v>
      </c>
      <c r="E13" s="10">
        <f>Table1[[#This Row],[MRI Brain Scans (NHS)]]/Table1[[#This Row],[MRI Scans (NHS)]]</f>
        <v>0.20732379377838589</v>
      </c>
      <c r="F13" s="7">
        <f>Table1[[#This Row],[MRI Brain Scans (NHS)]]*5.8%</f>
        <v>3163.8999999999996</v>
      </c>
      <c r="G13" s="7">
        <f>Table1[[#This Row],[MRI Brain Scans (NHS)]]+Table1[[#This Row],[Private Brain Scans]]</f>
        <v>57713.9</v>
      </c>
      <c r="H13" s="9">
        <v>3932.2956599999998</v>
      </c>
      <c r="I13" s="7">
        <v>13.872303793148657</v>
      </c>
      <c r="J13" s="11">
        <v>179933</v>
      </c>
      <c r="K13" s="11">
        <f>Table1[[#This Row],[Patient Waiting List (MRI)]]*Table1[[#This Row],[MRI Brain %]]</f>
        <v>37304.392185926306</v>
      </c>
      <c r="L13" s="11">
        <v>3148</v>
      </c>
      <c r="M13" s="7">
        <f>Table1[[#This Row],[MRI 6+ Week Waiter]]*Table1[[#This Row],[MRI Brain %]]</f>
        <v>652.65530281435883</v>
      </c>
      <c r="N13" s="12">
        <f>Table1[[#This Row],[Brain 6+ Week Waiters]]/Table1[[#This Row],[Brain Patients Waiting List]]</f>
        <v>1.7495401065952328E-2</v>
      </c>
      <c r="O13" s="16">
        <v>427022</v>
      </c>
      <c r="P13" s="14">
        <v>20.04</v>
      </c>
      <c r="Q13" s="30"/>
    </row>
    <row r="14" spans="1:17" x14ac:dyDescent="0.35">
      <c r="A14" s="6">
        <v>42461</v>
      </c>
      <c r="B14" s="7">
        <v>55289000</v>
      </c>
      <c r="C14" s="8">
        <v>272155</v>
      </c>
      <c r="D14" s="9">
        <v>55765</v>
      </c>
      <c r="E14" s="10">
        <f>Table1[[#This Row],[MRI Brain Scans (NHS)]]/Table1[[#This Row],[MRI Scans (NHS)]]</f>
        <v>0.20490161856295125</v>
      </c>
      <c r="F14" s="7">
        <f>Table1[[#This Row],[MRI Brain Scans (NHS)]]*5.8%</f>
        <v>3234.37</v>
      </c>
      <c r="G14" s="7">
        <f>Table1[[#This Row],[MRI Brain Scans (NHS)]]+Table1[[#This Row],[Private Brain Scans]]</f>
        <v>58999.37</v>
      </c>
      <c r="H14" s="9">
        <v>3906.1306500000001</v>
      </c>
      <c r="I14" s="7">
        <v>14.276276191632249</v>
      </c>
      <c r="J14" s="11">
        <v>176113</v>
      </c>
      <c r="K14" s="11">
        <f>Table1[[#This Row],[Patient Waiting List (MRI)]]*Table1[[#This Row],[MRI Brain %]]</f>
        <v>36085.838749977032</v>
      </c>
      <c r="L14" s="11">
        <v>2953</v>
      </c>
      <c r="M14" s="7">
        <f>Table1[[#This Row],[MRI 6+ Week Waiter]]*Table1[[#This Row],[MRI Brain %]]</f>
        <v>605.07447961639502</v>
      </c>
      <c r="N14" s="12">
        <f>Table1[[#This Row],[Brain 6+ Week Waiters]]/Table1[[#This Row],[Brain Patients Waiting List]]</f>
        <v>1.6767643501615439E-2</v>
      </c>
      <c r="O14" s="16">
        <v>413782</v>
      </c>
      <c r="P14" s="14">
        <v>20.350000000000001</v>
      </c>
      <c r="Q14" s="30"/>
    </row>
    <row r="15" spans="1:17" x14ac:dyDescent="0.35">
      <c r="A15" s="6">
        <v>42491</v>
      </c>
      <c r="B15" s="7">
        <v>55289000</v>
      </c>
      <c r="C15" s="8">
        <v>265440</v>
      </c>
      <c r="D15" s="9">
        <v>53065</v>
      </c>
      <c r="E15" s="10">
        <f>Table1[[#This Row],[MRI Brain Scans (NHS)]]/Table1[[#This Row],[MRI Scans (NHS)]]</f>
        <v>0.19991335141651598</v>
      </c>
      <c r="F15" s="7">
        <f>Table1[[#This Row],[MRI Brain Scans (NHS)]]*5.8%</f>
        <v>3077.77</v>
      </c>
      <c r="G15" s="7">
        <f>Table1[[#This Row],[MRI Brain Scans (NHS)]]+Table1[[#This Row],[Private Brain Scans]]</f>
        <v>56142.77</v>
      </c>
      <c r="H15" s="9">
        <v>3914.6036700000004</v>
      </c>
      <c r="I15" s="7">
        <v>13.55565070524751</v>
      </c>
      <c r="J15" s="11">
        <v>183393</v>
      </c>
      <c r="K15" s="11">
        <f>Table1[[#This Row],[Patient Waiting List (MRI)]]*Table1[[#This Row],[MRI Brain %]]</f>
        <v>36662.709256329115</v>
      </c>
      <c r="L15" s="11">
        <v>2071</v>
      </c>
      <c r="M15" s="7">
        <f>Table1[[#This Row],[MRI 6+ Week Waiter]]*Table1[[#This Row],[MRI Brain %]]</f>
        <v>414.02055078360456</v>
      </c>
      <c r="N15" s="12">
        <f>Table1[[#This Row],[Brain 6+ Week Waiters]]/Table1[[#This Row],[Brain Patients Waiting List]]</f>
        <v>1.1292688379600093E-2</v>
      </c>
      <c r="O15" s="16">
        <v>415576</v>
      </c>
      <c r="P15" s="14">
        <v>20.350000000000001</v>
      </c>
      <c r="Q15" s="30"/>
    </row>
    <row r="16" spans="1:17" x14ac:dyDescent="0.35">
      <c r="A16" s="6">
        <v>42522</v>
      </c>
      <c r="B16" s="7">
        <v>55289000</v>
      </c>
      <c r="C16" s="8">
        <v>277185</v>
      </c>
      <c r="D16" s="9">
        <v>56000</v>
      </c>
      <c r="E16" s="10">
        <f>Table1[[#This Row],[MRI Brain Scans (NHS)]]/Table1[[#This Row],[MRI Scans (NHS)]]</f>
        <v>0.20203113444089688</v>
      </c>
      <c r="F16" s="7">
        <f>Table1[[#This Row],[MRI Brain Scans (NHS)]]*5.8%</f>
        <v>3248</v>
      </c>
      <c r="G16" s="7">
        <f>Table1[[#This Row],[MRI Brain Scans (NHS)]]+Table1[[#This Row],[Private Brain Scans]]</f>
        <v>59248</v>
      </c>
      <c r="H16" s="9">
        <v>3898.0670800000003</v>
      </c>
      <c r="I16" s="7">
        <v>14.366094490092765</v>
      </c>
      <c r="J16" s="11">
        <v>192393</v>
      </c>
      <c r="K16" s="11">
        <f>Table1[[#This Row],[Patient Waiting List (MRI)]]*Table1[[#This Row],[MRI Brain %]]</f>
        <v>38869.376048487473</v>
      </c>
      <c r="L16" s="11">
        <v>2781</v>
      </c>
      <c r="M16" s="7">
        <f>Table1[[#This Row],[MRI 6+ Week Waiter]]*Table1[[#This Row],[MRI Brain %]]</f>
        <v>561.84858488013424</v>
      </c>
      <c r="N16" s="12">
        <f>Table1[[#This Row],[Brain 6+ Week Waiters]]/Table1[[#This Row],[Brain Patients Waiting List]]</f>
        <v>1.4454787856107031E-2</v>
      </c>
      <c r="O16" s="16">
        <v>427850</v>
      </c>
      <c r="P16" s="14">
        <v>20.350000000000001</v>
      </c>
      <c r="Q16" s="30"/>
    </row>
    <row r="17" spans="1:17" x14ac:dyDescent="0.35">
      <c r="A17" s="6">
        <v>42552</v>
      </c>
      <c r="B17" s="7">
        <v>55289000</v>
      </c>
      <c r="C17" s="8">
        <v>279060</v>
      </c>
      <c r="D17" s="9">
        <v>56515</v>
      </c>
      <c r="E17" s="10">
        <f>Table1[[#This Row],[MRI Brain Scans (NHS)]]/Table1[[#This Row],[MRI Scans (NHS)]]</f>
        <v>0.20251917150433599</v>
      </c>
      <c r="F17" s="7">
        <f>Table1[[#This Row],[MRI Brain Scans (NHS)]]*5.8%</f>
        <v>3277.87</v>
      </c>
      <c r="G17" s="7">
        <f>Table1[[#This Row],[MRI Brain Scans (NHS)]]+Table1[[#This Row],[Private Brain Scans]]</f>
        <v>59792.87</v>
      </c>
      <c r="H17" s="9">
        <v>3871.9580799999999</v>
      </c>
      <c r="I17" s="7">
        <v>14.595974138232407</v>
      </c>
      <c r="J17" s="11">
        <v>184475</v>
      </c>
      <c r="K17" s="11">
        <f>Table1[[#This Row],[Patient Waiting List (MRI)]]*Table1[[#This Row],[MRI Brain %]]</f>
        <v>37359.724163262385</v>
      </c>
      <c r="L17" s="11">
        <v>2546</v>
      </c>
      <c r="M17" s="7">
        <f>Table1[[#This Row],[MRI 6+ Week Waiter]]*Table1[[#This Row],[MRI Brain %]]</f>
        <v>515.61381065003945</v>
      </c>
      <c r="N17" s="12">
        <f>Table1[[#This Row],[Brain 6+ Week Waiters]]/Table1[[#This Row],[Brain Patients Waiting List]]</f>
        <v>1.3801328093237565E-2</v>
      </c>
      <c r="O17" s="16">
        <v>431081</v>
      </c>
      <c r="P17" s="14">
        <v>20.350000000000001</v>
      </c>
      <c r="Q17" s="30"/>
    </row>
    <row r="18" spans="1:17" x14ac:dyDescent="0.35">
      <c r="A18" s="6">
        <v>42583</v>
      </c>
      <c r="B18" s="7">
        <v>55289000</v>
      </c>
      <c r="C18" s="8">
        <v>276820</v>
      </c>
      <c r="D18" s="9">
        <v>55900</v>
      </c>
      <c r="E18" s="10">
        <f>Table1[[#This Row],[MRI Brain Scans (NHS)]]/Table1[[#This Row],[MRI Scans (NHS)]]</f>
        <v>0.20193627628061556</v>
      </c>
      <c r="F18" s="7">
        <f>Table1[[#This Row],[MRI Brain Scans (NHS)]]*5.8%</f>
        <v>3242.2</v>
      </c>
      <c r="G18" s="7">
        <f>Table1[[#This Row],[MRI Brain Scans (NHS)]]+Table1[[#This Row],[Private Brain Scans]]</f>
        <v>59142.2</v>
      </c>
      <c r="H18" s="9">
        <v>3965.67535</v>
      </c>
      <c r="I18" s="7">
        <v>14.095959720959003</v>
      </c>
      <c r="J18" s="11">
        <v>176844</v>
      </c>
      <c r="K18" s="11">
        <f>Table1[[#This Row],[Patient Waiting List (MRI)]]*Table1[[#This Row],[MRI Brain %]]</f>
        <v>35711.218842569178</v>
      </c>
      <c r="L18" s="11">
        <v>2921</v>
      </c>
      <c r="M18" s="7">
        <f>Table1[[#This Row],[MRI 6+ Week Waiter]]*Table1[[#This Row],[MRI Brain %]]</f>
        <v>589.8558630156781</v>
      </c>
      <c r="N18" s="12">
        <f>Table1[[#This Row],[Brain 6+ Week Waiters]]/Table1[[#This Row],[Brain Patients Waiting List]]</f>
        <v>1.6517382551853612E-2</v>
      </c>
      <c r="O18" s="16">
        <v>423458</v>
      </c>
      <c r="P18" s="14">
        <v>20.350000000000001</v>
      </c>
      <c r="Q18" s="30"/>
    </row>
    <row r="19" spans="1:17" x14ac:dyDescent="0.35">
      <c r="A19" s="6">
        <v>42614</v>
      </c>
      <c r="B19" s="7">
        <v>55289000</v>
      </c>
      <c r="C19" s="8">
        <v>276845</v>
      </c>
      <c r="D19" s="9">
        <v>56530</v>
      </c>
      <c r="E19" s="10">
        <f>Table1[[#This Row],[MRI Brain Scans (NHS)]]/Table1[[#This Row],[MRI Scans (NHS)]]</f>
        <v>0.20419368238545035</v>
      </c>
      <c r="F19" s="7">
        <f>Table1[[#This Row],[MRI Brain Scans (NHS)]]*5.8%</f>
        <v>3278.74</v>
      </c>
      <c r="G19" s="7">
        <f>Table1[[#This Row],[MRI Brain Scans (NHS)]]+Table1[[#This Row],[Private Brain Scans]]</f>
        <v>59808.74</v>
      </c>
      <c r="H19" s="9">
        <v>4051.3438500000002</v>
      </c>
      <c r="I19" s="7">
        <v>13.953394748263591</v>
      </c>
      <c r="J19" s="11">
        <v>188673</v>
      </c>
      <c r="K19" s="11">
        <f>Table1[[#This Row],[Patient Waiting List (MRI)]]*Table1[[#This Row],[MRI Brain %]]</f>
        <v>38525.834636710075</v>
      </c>
      <c r="L19" s="11">
        <v>2390</v>
      </c>
      <c r="M19" s="7">
        <f>Table1[[#This Row],[MRI 6+ Week Waiter]]*Table1[[#This Row],[MRI Brain %]]</f>
        <v>488.02290090122636</v>
      </c>
      <c r="N19" s="12">
        <f>Table1[[#This Row],[Brain 6+ Week Waiters]]/Table1[[#This Row],[Brain Patients Waiting List]]</f>
        <v>1.2667419291578552E-2</v>
      </c>
      <c r="O19" s="16">
        <v>435966</v>
      </c>
      <c r="P19" s="14">
        <v>20.350000000000001</v>
      </c>
      <c r="Q19" s="30"/>
    </row>
    <row r="20" spans="1:17" x14ac:dyDescent="0.35">
      <c r="A20" s="6">
        <v>42644</v>
      </c>
      <c r="B20" s="7">
        <v>55289000</v>
      </c>
      <c r="C20" s="8">
        <v>284825</v>
      </c>
      <c r="D20" s="9">
        <v>58035</v>
      </c>
      <c r="E20" s="10">
        <f>Table1[[#This Row],[MRI Brain Scans (NHS)]]/Table1[[#This Row],[MRI Scans (NHS)]]</f>
        <v>0.20375669270604757</v>
      </c>
      <c r="F20" s="7">
        <f>Table1[[#This Row],[MRI Brain Scans (NHS)]]*5.8%</f>
        <v>3366.0299999999997</v>
      </c>
      <c r="G20" s="7">
        <f>Table1[[#This Row],[MRI Brain Scans (NHS)]]+Table1[[#This Row],[Private Brain Scans]]</f>
        <v>61401.03</v>
      </c>
      <c r="H20" s="9">
        <v>4070.6957900000002</v>
      </c>
      <c r="I20" s="7">
        <v>14.256776480956342</v>
      </c>
      <c r="J20" s="11">
        <v>187559</v>
      </c>
      <c r="K20" s="11">
        <f>Table1[[#This Row],[Patient Waiting List (MRI)]]*Table1[[#This Row],[MRI Brain %]]</f>
        <v>38216.401527253576</v>
      </c>
      <c r="L20" s="11">
        <v>1788</v>
      </c>
      <c r="M20" s="7">
        <f>Table1[[#This Row],[MRI 6+ Week Waiter]]*Table1[[#This Row],[MRI Brain %]]</f>
        <v>364.31696655841307</v>
      </c>
      <c r="N20" s="12">
        <f>Table1[[#This Row],[Brain 6+ Week Waiters]]/Table1[[#This Row],[Brain Patients Waiting List]]</f>
        <v>9.5330002825777492E-3</v>
      </c>
      <c r="O20" s="16">
        <v>441896</v>
      </c>
      <c r="P20" s="14">
        <v>20.350000000000001</v>
      </c>
      <c r="Q20" s="30"/>
    </row>
    <row r="21" spans="1:17" x14ac:dyDescent="0.35">
      <c r="A21" s="6">
        <v>42675</v>
      </c>
      <c r="B21" s="7">
        <v>55289000</v>
      </c>
      <c r="C21" s="8">
        <v>289335</v>
      </c>
      <c r="D21" s="9">
        <v>59645</v>
      </c>
      <c r="E21" s="10">
        <f>Table1[[#This Row],[MRI Brain Scans (NHS)]]/Table1[[#This Row],[MRI Scans (NHS)]]</f>
        <v>0.20614512589213196</v>
      </c>
      <c r="F21" s="7">
        <f>Table1[[#This Row],[MRI Brain Scans (NHS)]]*5.8%</f>
        <v>3459.41</v>
      </c>
      <c r="G21" s="7">
        <f>Table1[[#This Row],[MRI Brain Scans (NHS)]]+Table1[[#This Row],[Private Brain Scans]]</f>
        <v>63104.41</v>
      </c>
      <c r="H21" s="9">
        <v>4052.8167699999999</v>
      </c>
      <c r="I21" s="7">
        <v>14.716924890734697</v>
      </c>
      <c r="J21" s="11">
        <v>196455</v>
      </c>
      <c r="K21" s="11">
        <f>Table1[[#This Row],[Patient Waiting List (MRI)]]*Table1[[#This Row],[MRI Brain %]]</f>
        <v>40498.240707138786</v>
      </c>
      <c r="L21" s="11">
        <v>1762</v>
      </c>
      <c r="M21" s="7">
        <f>Table1[[#This Row],[MRI 6+ Week Waiter]]*Table1[[#This Row],[MRI Brain %]]</f>
        <v>363.22771182193651</v>
      </c>
      <c r="N21" s="12">
        <f>Table1[[#This Row],[Brain 6+ Week Waiters]]/Table1[[#This Row],[Brain Patients Waiting List]]</f>
        <v>8.968975083352421E-3</v>
      </c>
      <c r="O21" s="16">
        <v>438791</v>
      </c>
      <c r="P21" s="14">
        <v>20.350000000000001</v>
      </c>
      <c r="Q21" s="30"/>
    </row>
    <row r="22" spans="1:17" x14ac:dyDescent="0.35">
      <c r="A22" s="6">
        <v>42705</v>
      </c>
      <c r="B22" s="7">
        <v>55289000</v>
      </c>
      <c r="C22" s="8">
        <v>265505</v>
      </c>
      <c r="D22" s="9">
        <v>54315</v>
      </c>
      <c r="E22" s="10">
        <f>Table1[[#This Row],[MRI Brain Scans (NHS)]]/Table1[[#This Row],[MRI Scans (NHS)]]</f>
        <v>0.2045724185985198</v>
      </c>
      <c r="F22" s="7">
        <f>Table1[[#This Row],[MRI Brain Scans (NHS)]]*5.8%</f>
        <v>3150.27</v>
      </c>
      <c r="G22" s="7">
        <f>Table1[[#This Row],[MRI Brain Scans (NHS)]]+Table1[[#This Row],[Private Brain Scans]]</f>
        <v>57465.27</v>
      </c>
      <c r="H22" s="9">
        <v>4037.6414300000001</v>
      </c>
      <c r="I22" s="7">
        <v>13.452160361847683</v>
      </c>
      <c r="J22" s="11">
        <v>182493</v>
      </c>
      <c r="K22" s="11">
        <f>Table1[[#This Row],[Patient Waiting List (MRI)]]*Table1[[#This Row],[MRI Brain %]]</f>
        <v>37333.034387299675</v>
      </c>
      <c r="L22" s="11">
        <v>2517</v>
      </c>
      <c r="M22" s="7">
        <f>Table1[[#This Row],[MRI 6+ Week Waiter]]*Table1[[#This Row],[MRI Brain %]]</f>
        <v>514.9087776124743</v>
      </c>
      <c r="N22" s="12">
        <f>Table1[[#This Row],[Brain 6+ Week Waiters]]/Table1[[#This Row],[Brain Patients Waiting List]]</f>
        <v>1.3792309842021337E-2</v>
      </c>
      <c r="O22" s="16">
        <v>441814</v>
      </c>
      <c r="P22" s="14">
        <v>20.350000000000001</v>
      </c>
      <c r="Q22" s="30"/>
    </row>
    <row r="23" spans="1:17" x14ac:dyDescent="0.35">
      <c r="A23" s="6">
        <v>42736</v>
      </c>
      <c r="B23" s="7">
        <v>55619500</v>
      </c>
      <c r="C23" s="8">
        <v>291385</v>
      </c>
      <c r="D23" s="9">
        <v>59930</v>
      </c>
      <c r="E23" s="10">
        <f>Table1[[#This Row],[MRI Brain Scans (NHS)]]/Table1[[#This Row],[MRI Scans (NHS)]]</f>
        <v>0.20567290697873947</v>
      </c>
      <c r="F23" s="7">
        <f>Table1[[#This Row],[MRI Brain Scans (NHS)]]*5.8%</f>
        <v>3475.9399999999996</v>
      </c>
      <c r="G23" s="7">
        <f>Table1[[#This Row],[MRI Brain Scans (NHS)]]+Table1[[#This Row],[Private Brain Scans]]</f>
        <v>63405.94</v>
      </c>
      <c r="H23" s="9">
        <v>4056.4120300000004</v>
      </c>
      <c r="I23" s="7">
        <v>14.774140190093064</v>
      </c>
      <c r="J23" s="11">
        <v>179829</v>
      </c>
      <c r="K23" s="11">
        <f>Table1[[#This Row],[Patient Waiting List (MRI)]]*Table1[[#This Row],[MRI Brain %]]</f>
        <v>36985.953189079737</v>
      </c>
      <c r="L23" s="11">
        <v>2590</v>
      </c>
      <c r="M23" s="7">
        <f>Table1[[#This Row],[MRI 6+ Week Waiter]]*Table1[[#This Row],[MRI Brain %]]</f>
        <v>532.69282907493528</v>
      </c>
      <c r="N23" s="12">
        <f>Table1[[#This Row],[Brain 6+ Week Waiters]]/Table1[[#This Row],[Brain Patients Waiting List]]</f>
        <v>1.4402571331653962E-2</v>
      </c>
      <c r="O23" s="16">
        <v>429820</v>
      </c>
      <c r="P23" s="14">
        <v>20.350000000000001</v>
      </c>
      <c r="Q23" s="30"/>
    </row>
    <row r="24" spans="1:17" x14ac:dyDescent="0.35">
      <c r="A24" s="6">
        <v>42767</v>
      </c>
      <c r="B24" s="7">
        <v>55619500</v>
      </c>
      <c r="C24" s="8">
        <v>273915</v>
      </c>
      <c r="D24" s="9">
        <v>56535</v>
      </c>
      <c r="E24" s="10">
        <f>Table1[[#This Row],[MRI Brain Scans (NHS)]]/Table1[[#This Row],[MRI Scans (NHS)]]</f>
        <v>0.20639614478944199</v>
      </c>
      <c r="F24" s="7">
        <f>Table1[[#This Row],[MRI Brain Scans (NHS)]]*5.8%</f>
        <v>3279.0299999999997</v>
      </c>
      <c r="G24" s="7">
        <f>Table1[[#This Row],[MRI Brain Scans (NHS)]]+Table1[[#This Row],[Private Brain Scans]]</f>
        <v>59814.03</v>
      </c>
      <c r="H24" s="9">
        <v>4036.27178</v>
      </c>
      <c r="I24" s="7">
        <v>14.006737673150443</v>
      </c>
      <c r="J24" s="11">
        <v>185773</v>
      </c>
      <c r="K24" s="11">
        <f>Table1[[#This Row],[Patient Waiting List (MRI)]]*Table1[[#This Row],[MRI Brain %]]</f>
        <v>38342.831005969005</v>
      </c>
      <c r="L24" s="11">
        <v>1514</v>
      </c>
      <c r="M24" s="7">
        <f>Table1[[#This Row],[MRI 6+ Week Waiter]]*Table1[[#This Row],[MRI Brain %]]</f>
        <v>312.48376321121515</v>
      </c>
      <c r="N24" s="12">
        <f>Table1[[#This Row],[Brain 6+ Week Waiters]]/Table1[[#This Row],[Brain Patients Waiting List]]</f>
        <v>8.1497311234678873E-3</v>
      </c>
      <c r="O24" s="16">
        <v>432821</v>
      </c>
      <c r="P24" s="14">
        <v>20.350000000000001</v>
      </c>
      <c r="Q24" s="30"/>
    </row>
    <row r="25" spans="1:17" x14ac:dyDescent="0.35">
      <c r="A25" s="6">
        <v>42795</v>
      </c>
      <c r="B25" s="7">
        <v>55619500</v>
      </c>
      <c r="C25" s="8">
        <v>306045</v>
      </c>
      <c r="D25" s="9">
        <v>64160</v>
      </c>
      <c r="E25" s="10">
        <f>Table1[[#This Row],[MRI Brain Scans (NHS)]]/Table1[[#This Row],[MRI Scans (NHS)]]</f>
        <v>0.2096423728536653</v>
      </c>
      <c r="F25" s="7">
        <f>Table1[[#This Row],[MRI Brain Scans (NHS)]]*5.8%</f>
        <v>3721.2799999999997</v>
      </c>
      <c r="G25" s="7">
        <f>Table1[[#This Row],[MRI Brain Scans (NHS)]]+Table1[[#This Row],[Private Brain Scans]]</f>
        <v>67881.279999999999</v>
      </c>
      <c r="H25" s="9">
        <v>4041.3272799999995</v>
      </c>
      <c r="I25" s="7">
        <v>15.875972311750017</v>
      </c>
      <c r="J25" s="11">
        <v>190534</v>
      </c>
      <c r="K25" s="11">
        <f>Table1[[#This Row],[Patient Waiting List (MRI)]]*Table1[[#This Row],[MRI Brain %]]</f>
        <v>39943.999869300264</v>
      </c>
      <c r="L25" s="11">
        <v>1329</v>
      </c>
      <c r="M25" s="7">
        <f>Table1[[#This Row],[MRI 6+ Week Waiter]]*Table1[[#This Row],[MRI Brain %]]</f>
        <v>278.61471352252119</v>
      </c>
      <c r="N25" s="12">
        <f>Table1[[#This Row],[Brain 6+ Week Waiters]]/Table1[[#This Row],[Brain Patients Waiting List]]</f>
        <v>6.9751330471201989E-3</v>
      </c>
      <c r="O25" s="16">
        <v>436380</v>
      </c>
      <c r="P25" s="14">
        <v>20.350000000000001</v>
      </c>
      <c r="Q25" s="30"/>
    </row>
    <row r="26" spans="1:17" x14ac:dyDescent="0.35">
      <c r="A26" s="6">
        <v>42826</v>
      </c>
      <c r="B26" s="7">
        <v>55619500</v>
      </c>
      <c r="C26" s="8">
        <v>272275</v>
      </c>
      <c r="D26" s="9">
        <v>56525</v>
      </c>
      <c r="E26" s="10">
        <f>Table1[[#This Row],[MRI Brain Scans (NHS)]]/Table1[[#This Row],[MRI Scans (NHS)]]</f>
        <v>0.20760260765769903</v>
      </c>
      <c r="F26" s="7">
        <f>Table1[[#This Row],[MRI Brain Scans (NHS)]]*5.8%</f>
        <v>3278.45</v>
      </c>
      <c r="G26" s="7">
        <f>Table1[[#This Row],[MRI Brain Scans (NHS)]]+Table1[[#This Row],[Private Brain Scans]]</f>
        <v>59803.45</v>
      </c>
      <c r="H26" s="9">
        <v>4042.9192699999999</v>
      </c>
      <c r="I26" s="7">
        <v>13.981233911702621</v>
      </c>
      <c r="J26" s="11">
        <v>173110</v>
      </c>
      <c r="K26" s="11">
        <f>Table1[[#This Row],[Patient Waiting List (MRI)]]*Table1[[#This Row],[MRI Brain %]]</f>
        <v>35938.087411624278</v>
      </c>
      <c r="L26" s="11">
        <v>1546</v>
      </c>
      <c r="M26" s="7">
        <f>Table1[[#This Row],[MRI 6+ Week Waiter]]*Table1[[#This Row],[MRI Brain %]]</f>
        <v>320.95363143880269</v>
      </c>
      <c r="N26" s="12">
        <f>Table1[[#This Row],[Brain 6+ Week Waiters]]/Table1[[#This Row],[Brain Patients Waiting List]]</f>
        <v>8.9307376812431394E-3</v>
      </c>
      <c r="O26" s="16">
        <v>442175</v>
      </c>
      <c r="P26" s="14">
        <v>20.65</v>
      </c>
      <c r="Q26" s="30"/>
    </row>
    <row r="27" spans="1:17" x14ac:dyDescent="0.35">
      <c r="A27" s="6">
        <v>42856</v>
      </c>
      <c r="B27" s="7">
        <v>55619500</v>
      </c>
      <c r="C27" s="8">
        <v>287455</v>
      </c>
      <c r="D27" s="9">
        <v>59455</v>
      </c>
      <c r="E27" s="10">
        <f>Table1[[#This Row],[MRI Brain Scans (NHS)]]/Table1[[#This Row],[MRI Scans (NHS)]]</f>
        <v>0.20683237376284982</v>
      </c>
      <c r="F27" s="7">
        <f>Table1[[#This Row],[MRI Brain Scans (NHS)]]*5.8%</f>
        <v>3448.39</v>
      </c>
      <c r="G27" s="7">
        <f>Table1[[#This Row],[MRI Brain Scans (NHS)]]+Table1[[#This Row],[Private Brain Scans]]</f>
        <v>62903.39</v>
      </c>
      <c r="H27" s="9">
        <v>4045.0470699999996</v>
      </c>
      <c r="I27" s="7">
        <v>14.698222040714104</v>
      </c>
      <c r="J27" s="11">
        <v>185597</v>
      </c>
      <c r="K27" s="11">
        <f>Table1[[#This Row],[Patient Waiting List (MRI)]]*Table1[[#This Row],[MRI Brain %]]</f>
        <v>38387.468073263641</v>
      </c>
      <c r="L27" s="11">
        <v>2220</v>
      </c>
      <c r="M27" s="7">
        <f>Table1[[#This Row],[MRI 6+ Week Waiter]]*Table1[[#This Row],[MRI Brain %]]</f>
        <v>459.16786975352659</v>
      </c>
      <c r="N27" s="12">
        <f>Table1[[#This Row],[Brain 6+ Week Waiters]]/Table1[[#This Row],[Brain Patients Waiting List]]</f>
        <v>1.1961400238150399E-2</v>
      </c>
      <c r="O27" s="16">
        <v>438251</v>
      </c>
      <c r="P27" s="14">
        <v>20.65</v>
      </c>
      <c r="Q27" s="30"/>
    </row>
    <row r="28" spans="1:17" x14ac:dyDescent="0.35">
      <c r="A28" s="6">
        <v>42887</v>
      </c>
      <c r="B28" s="7">
        <v>55619500</v>
      </c>
      <c r="C28" s="8">
        <v>289710</v>
      </c>
      <c r="D28" s="9">
        <v>59840</v>
      </c>
      <c r="E28" s="10">
        <f>Table1[[#This Row],[MRI Brain Scans (NHS)]]/Table1[[#This Row],[MRI Scans (NHS)]]</f>
        <v>0.20655137896517206</v>
      </c>
      <c r="F28" s="7">
        <f>Table1[[#This Row],[MRI Brain Scans (NHS)]]*5.8%</f>
        <v>3470.72</v>
      </c>
      <c r="G28" s="7">
        <f>Table1[[#This Row],[MRI Brain Scans (NHS)]]+Table1[[#This Row],[Private Brain Scans]]</f>
        <v>63310.720000000001</v>
      </c>
      <c r="H28" s="9">
        <v>4021.9439199999997</v>
      </c>
      <c r="I28" s="7">
        <v>14.878377518501054</v>
      </c>
      <c r="J28" s="11">
        <v>190090</v>
      </c>
      <c r="K28" s="11">
        <f>Table1[[#This Row],[Patient Waiting List (MRI)]]*Table1[[#This Row],[MRI Brain %]]</f>
        <v>39263.351627489559</v>
      </c>
      <c r="L28" s="11">
        <v>2201</v>
      </c>
      <c r="M28" s="7">
        <f>Table1[[#This Row],[MRI 6+ Week Waiter]]*Table1[[#This Row],[MRI Brain %]]</f>
        <v>454.61958510234371</v>
      </c>
      <c r="N28" s="12">
        <f>Table1[[#This Row],[Brain 6+ Week Waiters]]/Table1[[#This Row],[Brain Patients Waiting List]]</f>
        <v>1.1578725866694723E-2</v>
      </c>
      <c r="O28" s="16">
        <v>446271</v>
      </c>
      <c r="P28" s="14">
        <v>20.65</v>
      </c>
      <c r="Q28" s="30"/>
    </row>
    <row r="29" spans="1:17" x14ac:dyDescent="0.35">
      <c r="A29" s="6">
        <v>42917</v>
      </c>
      <c r="B29" s="7">
        <v>55619500</v>
      </c>
      <c r="C29" s="8">
        <v>295365</v>
      </c>
      <c r="D29" s="9">
        <v>59925</v>
      </c>
      <c r="E29" s="10">
        <f>Table1[[#This Row],[MRI Brain Scans (NHS)]]/Table1[[#This Row],[MRI Scans (NHS)]]</f>
        <v>0.20288456655324769</v>
      </c>
      <c r="F29" s="7">
        <f>Table1[[#This Row],[MRI Brain Scans (NHS)]]*5.8%</f>
        <v>3475.6499999999996</v>
      </c>
      <c r="G29" s="7">
        <f>Table1[[#This Row],[MRI Brain Scans (NHS)]]+Table1[[#This Row],[Private Brain Scans]]</f>
        <v>63400.65</v>
      </c>
      <c r="H29" s="9">
        <v>4012.19301</v>
      </c>
      <c r="I29" s="7">
        <v>14.935722147624199</v>
      </c>
      <c r="J29" s="11">
        <v>183850</v>
      </c>
      <c r="K29" s="11">
        <f>Table1[[#This Row],[Patient Waiting List (MRI)]]*Table1[[#This Row],[MRI Brain %]]</f>
        <v>37300.327560814585</v>
      </c>
      <c r="L29" s="11">
        <v>1843</v>
      </c>
      <c r="M29" s="7">
        <f>Table1[[#This Row],[MRI 6+ Week Waiter]]*Table1[[#This Row],[MRI Brain %]]</f>
        <v>373.91625615763547</v>
      </c>
      <c r="N29" s="12">
        <f>Table1[[#This Row],[Brain 6+ Week Waiters]]/Table1[[#This Row],[Brain Patients Waiting List]]</f>
        <v>1.0024476475387544E-2</v>
      </c>
      <c r="O29" s="16">
        <v>448128</v>
      </c>
      <c r="P29" s="14">
        <v>20.65</v>
      </c>
      <c r="Q29" s="30"/>
    </row>
    <row r="30" spans="1:17" x14ac:dyDescent="0.35">
      <c r="A30" s="6">
        <v>42948</v>
      </c>
      <c r="B30" s="7">
        <v>55619500</v>
      </c>
      <c r="C30" s="8">
        <v>291705</v>
      </c>
      <c r="D30" s="9">
        <v>60280</v>
      </c>
      <c r="E30" s="10">
        <f>Table1[[#This Row],[MRI Brain Scans (NHS)]]/Table1[[#This Row],[MRI Scans (NHS)]]</f>
        <v>0.20664712637767607</v>
      </c>
      <c r="F30" s="7">
        <f>Table1[[#This Row],[MRI Brain Scans (NHS)]]*5.8%</f>
        <v>3496.24</v>
      </c>
      <c r="G30" s="7">
        <f>Table1[[#This Row],[MRI Brain Scans (NHS)]]+Table1[[#This Row],[Private Brain Scans]]</f>
        <v>63776.24</v>
      </c>
      <c r="H30" s="9">
        <v>4112.8322900000003</v>
      </c>
      <c r="I30" s="7">
        <v>14.656566509304467</v>
      </c>
      <c r="J30" s="11">
        <v>176168</v>
      </c>
      <c r="K30" s="11">
        <f>Table1[[#This Row],[Patient Waiting List (MRI)]]*Table1[[#This Row],[MRI Brain %]]</f>
        <v>36404.610959702441</v>
      </c>
      <c r="L30" s="11">
        <v>2273</v>
      </c>
      <c r="M30" s="7">
        <f>Table1[[#This Row],[MRI 6+ Week Waiter]]*Table1[[#This Row],[MRI Brain %]]</f>
        <v>469.70891825645771</v>
      </c>
      <c r="N30" s="12">
        <f>Table1[[#This Row],[Brain 6+ Week Waiters]]/Table1[[#This Row],[Brain Patients Waiting List]]</f>
        <v>1.2902456745833521E-2</v>
      </c>
      <c r="O30" s="16">
        <v>448497</v>
      </c>
      <c r="P30" s="14">
        <v>20.65</v>
      </c>
      <c r="Q30" s="30"/>
    </row>
    <row r="31" spans="1:17" x14ac:dyDescent="0.35">
      <c r="A31" s="6">
        <v>42979</v>
      </c>
      <c r="B31" s="7">
        <v>55619500</v>
      </c>
      <c r="C31" s="8">
        <v>284765</v>
      </c>
      <c r="D31" s="9">
        <v>59015</v>
      </c>
      <c r="E31" s="10">
        <f>Table1[[#This Row],[MRI Brain Scans (NHS)]]/Table1[[#This Row],[MRI Scans (NHS)]]</f>
        <v>0.20724105841658913</v>
      </c>
      <c r="F31" s="7">
        <f>Table1[[#This Row],[MRI Brain Scans (NHS)]]*5.8%</f>
        <v>3422.87</v>
      </c>
      <c r="G31" s="7">
        <f>Table1[[#This Row],[MRI Brain Scans (NHS)]]+Table1[[#This Row],[Private Brain Scans]]</f>
        <v>62437.87</v>
      </c>
      <c r="H31" s="9">
        <v>4191.5859199999995</v>
      </c>
      <c r="I31" s="7">
        <v>14.079396468628277</v>
      </c>
      <c r="J31" s="11">
        <v>184635</v>
      </c>
      <c r="K31" s="11">
        <f>Table1[[#This Row],[Patient Waiting List (MRI)]]*Table1[[#This Row],[MRI Brain %]]</f>
        <v>38263.952820746934</v>
      </c>
      <c r="L31" s="11">
        <v>1849</v>
      </c>
      <c r="M31" s="7">
        <f>Table1[[#This Row],[MRI 6+ Week Waiter]]*Table1[[#This Row],[MRI Brain %]]</f>
        <v>383.18871701227329</v>
      </c>
      <c r="N31" s="12">
        <f>Table1[[#This Row],[Brain 6+ Week Waiters]]/Table1[[#This Row],[Brain Patients Waiting List]]</f>
        <v>1.0014352641698487E-2</v>
      </c>
      <c r="O31" s="16">
        <v>453123</v>
      </c>
      <c r="P31" s="14">
        <v>20.65</v>
      </c>
      <c r="Q31" s="30"/>
    </row>
    <row r="32" spans="1:17" x14ac:dyDescent="0.35">
      <c r="A32" s="6">
        <v>43009</v>
      </c>
      <c r="B32" s="7">
        <v>55619500</v>
      </c>
      <c r="C32" s="8">
        <v>297155</v>
      </c>
      <c r="D32" s="9">
        <v>61740</v>
      </c>
      <c r="E32" s="10">
        <f>Table1[[#This Row],[MRI Brain Scans (NHS)]]/Table1[[#This Row],[MRI Scans (NHS)]]</f>
        <v>0.20777035553835541</v>
      </c>
      <c r="F32" s="7">
        <f>Table1[[#This Row],[MRI Brain Scans (NHS)]]*5.8%</f>
        <v>3580.9199999999996</v>
      </c>
      <c r="G32" s="7">
        <f>Table1[[#This Row],[MRI Brain Scans (NHS)]]+Table1[[#This Row],[Private Brain Scans]]</f>
        <v>65320.92</v>
      </c>
      <c r="H32" s="9">
        <v>4231.3094199999996</v>
      </c>
      <c r="I32" s="7">
        <v>14.591227885196826</v>
      </c>
      <c r="J32" s="11">
        <v>193557</v>
      </c>
      <c r="K32" s="11">
        <f>Table1[[#This Row],[Patient Waiting List (MRI)]]*Table1[[#This Row],[MRI Brain %]]</f>
        <v>40215.406706937458</v>
      </c>
      <c r="L32" s="11">
        <v>1605</v>
      </c>
      <c r="M32" s="7">
        <f>Table1[[#This Row],[MRI 6+ Week Waiter]]*Table1[[#This Row],[MRI Brain %]]</f>
        <v>333.47142063906045</v>
      </c>
      <c r="N32" s="12">
        <f>Table1[[#This Row],[Brain 6+ Week Waiters]]/Table1[[#This Row],[Brain Patients Waiting List]]</f>
        <v>8.2921310001704933E-3</v>
      </c>
      <c r="O32" s="16">
        <v>456558</v>
      </c>
      <c r="P32" s="14">
        <v>20.65</v>
      </c>
      <c r="Q32" s="30"/>
    </row>
    <row r="33" spans="1:17" x14ac:dyDescent="0.35">
      <c r="A33" s="6">
        <v>43040</v>
      </c>
      <c r="B33" s="7">
        <v>55619500</v>
      </c>
      <c r="C33" s="8">
        <v>298370</v>
      </c>
      <c r="D33" s="9">
        <v>61210</v>
      </c>
      <c r="E33" s="10">
        <f>Table1[[#This Row],[MRI Brain Scans (NHS)]]/Table1[[#This Row],[MRI Scans (NHS)]]</f>
        <v>0.20514797064047993</v>
      </c>
      <c r="F33" s="7">
        <f>Table1[[#This Row],[MRI Brain Scans (NHS)]]*5.8%</f>
        <v>3550.18</v>
      </c>
      <c r="G33" s="7">
        <f>Table1[[#This Row],[MRI Brain Scans (NHS)]]+Table1[[#This Row],[Private Brain Scans]]</f>
        <v>64760.18</v>
      </c>
      <c r="H33" s="9">
        <v>4209.0958300000002</v>
      </c>
      <c r="I33" s="7">
        <v>14.542315611759307</v>
      </c>
      <c r="J33" s="11">
        <v>203516</v>
      </c>
      <c r="K33" s="11">
        <f>Table1[[#This Row],[Patient Waiting List (MRI)]]*Table1[[#This Row],[MRI Brain %]]</f>
        <v>41750.894392867915</v>
      </c>
      <c r="L33" s="11">
        <v>1959</v>
      </c>
      <c r="M33" s="7">
        <f>Table1[[#This Row],[MRI 6+ Week Waiter]]*Table1[[#This Row],[MRI Brain %]]</f>
        <v>401.88487448470016</v>
      </c>
      <c r="N33" s="12">
        <f>Table1[[#This Row],[Brain 6+ Week Waiters]]/Table1[[#This Row],[Brain Patients Waiting List]]</f>
        <v>9.6257788085457648E-3</v>
      </c>
      <c r="O33" s="16">
        <v>458461</v>
      </c>
      <c r="P33" s="14">
        <v>20.65</v>
      </c>
      <c r="Q33" s="30"/>
    </row>
    <row r="34" spans="1:17" x14ac:dyDescent="0.35">
      <c r="A34" s="6">
        <v>43070</v>
      </c>
      <c r="B34" s="7">
        <v>55619500</v>
      </c>
      <c r="C34" s="8">
        <v>269890</v>
      </c>
      <c r="D34" s="9">
        <v>55590</v>
      </c>
      <c r="E34" s="10">
        <f>Table1[[#This Row],[MRI Brain Scans (NHS)]]/Table1[[#This Row],[MRI Scans (NHS)]]</f>
        <v>0.20597280373485494</v>
      </c>
      <c r="F34" s="7">
        <f>Table1[[#This Row],[MRI Brain Scans (NHS)]]*5.8%</f>
        <v>3224.22</v>
      </c>
      <c r="G34" s="7">
        <f>Table1[[#This Row],[MRI Brain Scans (NHS)]]+Table1[[#This Row],[Private Brain Scans]]</f>
        <v>58814.22</v>
      </c>
      <c r="H34" s="9">
        <v>4204.2707900000005</v>
      </c>
      <c r="I34" s="7">
        <v>13.222269158357422</v>
      </c>
      <c r="J34" s="11">
        <v>180966</v>
      </c>
      <c r="K34" s="11">
        <f>Table1[[#This Row],[Patient Waiting List (MRI)]]*Table1[[#This Row],[MRI Brain %]]</f>
        <v>37274.074400681755</v>
      </c>
      <c r="L34" s="11">
        <v>2822</v>
      </c>
      <c r="M34" s="7">
        <f>Table1[[#This Row],[MRI 6+ Week Waiter]]*Table1[[#This Row],[MRI Brain %]]</f>
        <v>581.25525213976061</v>
      </c>
      <c r="N34" s="12">
        <f>Table1[[#This Row],[Brain 6+ Week Waiters]]/Table1[[#This Row],[Brain Patients Waiting List]]</f>
        <v>1.5594089497474664E-2</v>
      </c>
      <c r="O34" s="16">
        <v>456739</v>
      </c>
      <c r="P34" s="14">
        <v>20.65</v>
      </c>
      <c r="Q34" s="30"/>
    </row>
    <row r="35" spans="1:17" x14ac:dyDescent="0.35">
      <c r="A35" s="6">
        <v>43101</v>
      </c>
      <c r="B35" s="7">
        <v>55924500</v>
      </c>
      <c r="C35" s="8">
        <v>299240</v>
      </c>
      <c r="D35" s="9">
        <v>63045</v>
      </c>
      <c r="E35" s="10">
        <f>Table1[[#This Row],[MRI Brain Scans (NHS)]]/Table1[[#This Row],[MRI Scans (NHS)]]</f>
        <v>0.21068373212137415</v>
      </c>
      <c r="F35" s="7">
        <f>Table1[[#This Row],[MRI Brain Scans (NHS)]]*5.8%</f>
        <v>3656.6099999999997</v>
      </c>
      <c r="G35" s="7">
        <f>Table1[[#This Row],[MRI Brain Scans (NHS)]]+Table1[[#This Row],[Private Brain Scans]]</f>
        <v>66701.61</v>
      </c>
      <c r="H35" s="9">
        <v>4193.0876399999997</v>
      </c>
      <c r="I35" s="7">
        <v>15.035459645198355</v>
      </c>
      <c r="J35" s="11">
        <v>185965</v>
      </c>
      <c r="K35" s="11">
        <f>Table1[[#This Row],[Patient Waiting List (MRI)]]*Table1[[#This Row],[MRI Brain %]]</f>
        <v>39179.800243951344</v>
      </c>
      <c r="L35" s="11">
        <v>3727</v>
      </c>
      <c r="M35" s="7">
        <f>Table1[[#This Row],[MRI 6+ Week Waiter]]*Table1[[#This Row],[MRI Brain %]]</f>
        <v>785.21826961636145</v>
      </c>
      <c r="N35" s="12">
        <f>Table1[[#This Row],[Brain 6+ Week Waiters]]/Table1[[#This Row],[Brain Patients Waiting List]]</f>
        <v>2.0041405640846395E-2</v>
      </c>
      <c r="O35" s="16">
        <v>453117</v>
      </c>
      <c r="P35" s="14">
        <v>20.65</v>
      </c>
      <c r="Q35" s="30"/>
    </row>
    <row r="36" spans="1:17" x14ac:dyDescent="0.35">
      <c r="A36" s="6">
        <v>43132</v>
      </c>
      <c r="B36" s="7">
        <v>55924500</v>
      </c>
      <c r="C36" s="8">
        <v>279530</v>
      </c>
      <c r="D36" s="9">
        <v>58580</v>
      </c>
      <c r="E36" s="10">
        <f>Table1[[#This Row],[MRI Brain Scans (NHS)]]/Table1[[#This Row],[MRI Scans (NHS)]]</f>
        <v>0.20956605731048547</v>
      </c>
      <c r="F36" s="7">
        <f>Table1[[#This Row],[MRI Brain Scans (NHS)]]*5.8%</f>
        <v>3397.64</v>
      </c>
      <c r="G36" s="7">
        <f>Table1[[#This Row],[MRI Brain Scans (NHS)]]+Table1[[#This Row],[Private Brain Scans]]</f>
        <v>61977.64</v>
      </c>
      <c r="H36" s="9">
        <v>4203.9369699999997</v>
      </c>
      <c r="I36" s="7">
        <v>13.934557158691179</v>
      </c>
      <c r="J36" s="11">
        <v>194539</v>
      </c>
      <c r="K36" s="11">
        <f>Table1[[#This Row],[Patient Waiting List (MRI)]]*Table1[[#This Row],[MRI Brain %]]</f>
        <v>40768.771223124531</v>
      </c>
      <c r="L36" s="11">
        <v>2270</v>
      </c>
      <c r="M36" s="7">
        <f>Table1[[#This Row],[MRI 6+ Week Waiter]]*Table1[[#This Row],[MRI Brain %]]</f>
        <v>475.71495009480202</v>
      </c>
      <c r="N36" s="12">
        <f>Table1[[#This Row],[Brain 6+ Week Waiters]]/Table1[[#This Row],[Brain Patients Waiting List]]</f>
        <v>1.1668611435239206E-2</v>
      </c>
      <c r="O36" s="16">
        <v>451731</v>
      </c>
      <c r="P36" s="14">
        <v>20.65</v>
      </c>
      <c r="Q36" s="30"/>
    </row>
    <row r="37" spans="1:17" x14ac:dyDescent="0.35">
      <c r="A37" s="6">
        <v>43160</v>
      </c>
      <c r="B37" s="7">
        <v>55924500</v>
      </c>
      <c r="C37" s="8">
        <v>298550</v>
      </c>
      <c r="D37" s="9">
        <v>62435</v>
      </c>
      <c r="E37" s="10">
        <f>Table1[[#This Row],[MRI Brain Scans (NHS)]]/Table1[[#This Row],[MRI Scans (NHS)]]</f>
        <v>0.20912744933846927</v>
      </c>
      <c r="F37" s="7">
        <f>Table1[[#This Row],[MRI Brain Scans (NHS)]]*5.8%</f>
        <v>3621.2299999999996</v>
      </c>
      <c r="G37" s="7">
        <f>Table1[[#This Row],[MRI Brain Scans (NHS)]]+Table1[[#This Row],[Private Brain Scans]]</f>
        <v>66056.23</v>
      </c>
      <c r="H37" s="9">
        <v>4204.1655099999998</v>
      </c>
      <c r="I37" s="7">
        <v>14.850747396003447</v>
      </c>
      <c r="J37" s="11">
        <v>197977</v>
      </c>
      <c r="K37" s="11">
        <f>Table1[[#This Row],[Patient Waiting List (MRI)]]*Table1[[#This Row],[MRI Brain %]]</f>
        <v>41402.425037682129</v>
      </c>
      <c r="L37" s="11">
        <v>3657</v>
      </c>
      <c r="M37" s="7">
        <f>Table1[[#This Row],[MRI 6+ Week Waiter]]*Table1[[#This Row],[MRI Brain %]]</f>
        <v>764.77908223078214</v>
      </c>
      <c r="N37" s="12">
        <f>Table1[[#This Row],[Brain 6+ Week Waiters]]/Table1[[#This Row],[Brain Patients Waiting List]]</f>
        <v>1.8471842688797185E-2</v>
      </c>
      <c r="O37" s="16">
        <v>450509</v>
      </c>
      <c r="P37" s="14">
        <v>20.65</v>
      </c>
      <c r="Q37" s="30"/>
    </row>
    <row r="38" spans="1:17" x14ac:dyDescent="0.35">
      <c r="A38" s="6">
        <v>43191</v>
      </c>
      <c r="B38" s="7">
        <v>55924500</v>
      </c>
      <c r="C38" s="17">
        <v>298305</v>
      </c>
      <c r="D38" s="18">
        <v>61790</v>
      </c>
      <c r="E38" s="10">
        <f>Table1[[#This Row],[MRI Brain Scans (NHS)]]/Table1[[#This Row],[MRI Scans (NHS)]]</f>
        <v>0.2071369906639178</v>
      </c>
      <c r="F38" s="7">
        <f>Table1[[#This Row],[MRI Brain Scans (NHS)]]*5.8%</f>
        <v>3583.8199999999997</v>
      </c>
      <c r="G38" s="7">
        <f>Table1[[#This Row],[MRI Brain Scans (NHS)]]+Table1[[#This Row],[Private Brain Scans]]</f>
        <v>65373.82</v>
      </c>
      <c r="H38" s="18">
        <v>4200.3330500000002</v>
      </c>
      <c r="I38" s="7">
        <v>14.710738235388263</v>
      </c>
      <c r="J38" s="11">
        <v>201302</v>
      </c>
      <c r="K38" s="11">
        <f>Table1[[#This Row],[Patient Waiting List (MRI)]]*Table1[[#This Row],[MRI Brain %]]</f>
        <v>41697.090494627984</v>
      </c>
      <c r="L38" s="11">
        <v>5265</v>
      </c>
      <c r="M38" s="7">
        <f>Table1[[#This Row],[MRI 6+ Week Waiter]]*Table1[[#This Row],[MRI Brain %]]</f>
        <v>1090.5762558455272</v>
      </c>
      <c r="N38" s="12">
        <f>Table1[[#This Row],[Brain 6+ Week Waiters]]/Table1[[#This Row],[Brain Patients Waiting List]]</f>
        <v>2.615473269018688E-2</v>
      </c>
      <c r="O38" s="16">
        <v>450106</v>
      </c>
      <c r="P38" s="14">
        <v>20.95</v>
      </c>
      <c r="Q38" s="30"/>
    </row>
    <row r="39" spans="1:17" x14ac:dyDescent="0.35">
      <c r="A39" s="6">
        <v>43221</v>
      </c>
      <c r="B39" s="7">
        <v>55924500</v>
      </c>
      <c r="C39" s="17">
        <v>312595</v>
      </c>
      <c r="D39" s="18">
        <v>64295</v>
      </c>
      <c r="E39" s="10">
        <f>Table1[[#This Row],[MRI Brain Scans (NHS)]]/Table1[[#This Row],[MRI Scans (NHS)]]</f>
        <v>0.20568147283225899</v>
      </c>
      <c r="F39" s="7">
        <f>Table1[[#This Row],[MRI Brain Scans (NHS)]]*5.8%</f>
        <v>3729.1099999999997</v>
      </c>
      <c r="G39" s="7">
        <f>Table1[[#This Row],[MRI Brain Scans (NHS)]]+Table1[[#This Row],[Private Brain Scans]]</f>
        <v>68024.11</v>
      </c>
      <c r="H39" s="18">
        <v>4209.4946600000003</v>
      </c>
      <c r="I39" s="7">
        <v>15.273804860937867</v>
      </c>
      <c r="J39" s="11">
        <v>211144</v>
      </c>
      <c r="K39" s="11">
        <f>Table1[[#This Row],[Patient Waiting List (MRI)]]*Table1[[#This Row],[MRI Brain %]]</f>
        <v>43428.408899694492</v>
      </c>
      <c r="L39" s="11">
        <v>6342</v>
      </c>
      <c r="M39" s="7">
        <f>Table1[[#This Row],[MRI 6+ Week Waiter]]*Table1[[#This Row],[MRI Brain %]]</f>
        <v>1304.4319007021866</v>
      </c>
      <c r="N39" s="12">
        <f>Table1[[#This Row],[Brain 6+ Week Waiters]]/Table1[[#This Row],[Brain Patients Waiting List]]</f>
        <v>3.003637328079415E-2</v>
      </c>
      <c r="O39" s="16">
        <v>451561</v>
      </c>
      <c r="P39" s="14">
        <v>20.95</v>
      </c>
      <c r="Q39" s="30"/>
    </row>
    <row r="40" spans="1:17" x14ac:dyDescent="0.35">
      <c r="A40" s="6">
        <v>43252</v>
      </c>
      <c r="B40" s="7">
        <v>55924500</v>
      </c>
      <c r="C40" s="17">
        <v>310230</v>
      </c>
      <c r="D40" s="18">
        <v>63865</v>
      </c>
      <c r="E40" s="10">
        <f>Table1[[#This Row],[MRI Brain Scans (NHS)]]/Table1[[#This Row],[MRI Scans (NHS)]]</f>
        <v>0.20586339167714277</v>
      </c>
      <c r="F40" s="7">
        <f>Table1[[#This Row],[MRI Brain Scans (NHS)]]*5.8%</f>
        <v>3704.1699999999996</v>
      </c>
      <c r="G40" s="7">
        <f>Table1[[#This Row],[MRI Brain Scans (NHS)]]+Table1[[#This Row],[Private Brain Scans]]</f>
        <v>67569.17</v>
      </c>
      <c r="H40" s="18">
        <v>4197.5524800000003</v>
      </c>
      <c r="I40" s="7">
        <v>15.214818707877118</v>
      </c>
      <c r="J40" s="11">
        <v>210983</v>
      </c>
      <c r="K40" s="11">
        <f>Table1[[#This Row],[Patient Waiting List (MRI)]]*Table1[[#This Row],[MRI Brain %]]</f>
        <v>43433.675966218609</v>
      </c>
      <c r="L40" s="11">
        <v>6706</v>
      </c>
      <c r="M40" s="7">
        <f>Table1[[#This Row],[MRI 6+ Week Waiter]]*Table1[[#This Row],[MRI Brain %]]</f>
        <v>1380.5199045869194</v>
      </c>
      <c r="N40" s="12">
        <f>Table1[[#This Row],[Brain 6+ Week Waiters]]/Table1[[#This Row],[Brain Patients Waiting List]]</f>
        <v>3.1784551361958076E-2</v>
      </c>
      <c r="O40" s="16">
        <v>454275</v>
      </c>
      <c r="P40" s="14">
        <v>20.95</v>
      </c>
      <c r="Q40" s="30"/>
    </row>
    <row r="41" spans="1:17" x14ac:dyDescent="0.35">
      <c r="A41" s="6">
        <v>43282</v>
      </c>
      <c r="B41" s="7">
        <v>55924500</v>
      </c>
      <c r="C41" s="17">
        <v>319680</v>
      </c>
      <c r="D41" s="18">
        <v>64450</v>
      </c>
      <c r="E41" s="10">
        <f>Table1[[#This Row],[MRI Brain Scans (NHS)]]/Table1[[#This Row],[MRI Scans (NHS)]]</f>
        <v>0.20160785785785787</v>
      </c>
      <c r="F41" s="7">
        <f>Table1[[#This Row],[MRI Brain Scans (NHS)]]*5.8%</f>
        <v>3738.1</v>
      </c>
      <c r="G41" s="7">
        <f>Table1[[#This Row],[MRI Brain Scans (NHS)]]+Table1[[#This Row],[Private Brain Scans]]</f>
        <v>68188.100000000006</v>
      </c>
      <c r="H41" s="18">
        <v>4189.9804899999999</v>
      </c>
      <c r="I41" s="7">
        <v>15.381933198452673</v>
      </c>
      <c r="J41" s="11">
        <v>203264</v>
      </c>
      <c r="K41" s="11">
        <f>Table1[[#This Row],[Patient Waiting List (MRI)]]*Table1[[#This Row],[MRI Brain %]]</f>
        <v>40979.619619619625</v>
      </c>
      <c r="L41" s="11">
        <v>6406</v>
      </c>
      <c r="M41" s="7">
        <f>Table1[[#This Row],[MRI 6+ Week Waiter]]*Table1[[#This Row],[MRI Brain %]]</f>
        <v>1291.4999374374374</v>
      </c>
      <c r="N41" s="12">
        <f>Table1[[#This Row],[Brain 6+ Week Waiters]]/Table1[[#This Row],[Brain Patients Waiting List]]</f>
        <v>3.1515664357682618E-2</v>
      </c>
      <c r="O41" s="16">
        <v>456656</v>
      </c>
      <c r="P41" s="14">
        <v>20.95</v>
      </c>
      <c r="Q41" s="30"/>
    </row>
    <row r="42" spans="1:17" x14ac:dyDescent="0.35">
      <c r="A42" s="6">
        <v>43313</v>
      </c>
      <c r="B42" s="7">
        <v>55924500</v>
      </c>
      <c r="C42" s="17">
        <v>315995</v>
      </c>
      <c r="D42" s="18">
        <v>64780</v>
      </c>
      <c r="E42" s="10">
        <f>Table1[[#This Row],[MRI Brain Scans (NHS)]]/Table1[[#This Row],[MRI Scans (NHS)]]</f>
        <v>0.20500324372221079</v>
      </c>
      <c r="F42" s="7">
        <f>Table1[[#This Row],[MRI Brain Scans (NHS)]]*5.8%</f>
        <v>3757.24</v>
      </c>
      <c r="G42" s="7">
        <f>Table1[[#This Row],[MRI Brain Scans (NHS)]]+Table1[[#This Row],[Private Brain Scans]]</f>
        <v>68537.240000000005</v>
      </c>
      <c r="H42" s="18">
        <v>4299.5386799999997</v>
      </c>
      <c r="I42" s="7">
        <v>15.066732694215466</v>
      </c>
      <c r="J42" s="11">
        <v>186273</v>
      </c>
      <c r="K42" s="11">
        <f>Table1[[#This Row],[Patient Waiting List (MRI)]]*Table1[[#This Row],[MRI Brain %]]</f>
        <v>38186.569217867371</v>
      </c>
      <c r="L42" s="11">
        <v>5819</v>
      </c>
      <c r="M42" s="7">
        <f>Table1[[#This Row],[MRI 6+ Week Waiter]]*Table1[[#This Row],[MRI Brain %]]</f>
        <v>1192.9138752195447</v>
      </c>
      <c r="N42" s="12">
        <f>Table1[[#This Row],[Brain 6+ Week Waiters]]/Table1[[#This Row],[Brain Patients Waiting List]]</f>
        <v>3.1239095306351432E-2</v>
      </c>
      <c r="O42" s="16">
        <v>458562</v>
      </c>
      <c r="P42" s="14">
        <v>20.95</v>
      </c>
      <c r="Q42" s="30"/>
    </row>
    <row r="43" spans="1:17" x14ac:dyDescent="0.35">
      <c r="A43" s="6">
        <v>43344</v>
      </c>
      <c r="B43" s="7">
        <v>55924500</v>
      </c>
      <c r="C43" s="17">
        <v>303110</v>
      </c>
      <c r="D43" s="18">
        <v>62745</v>
      </c>
      <c r="E43" s="10">
        <f>Table1[[#This Row],[MRI Brain Scans (NHS)]]/Table1[[#This Row],[MRI Scans (NHS)]]</f>
        <v>0.20700405793276369</v>
      </c>
      <c r="F43" s="7">
        <f>Table1[[#This Row],[MRI Brain Scans (NHS)]]*5.8%</f>
        <v>3639.2099999999996</v>
      </c>
      <c r="G43" s="7">
        <f>Table1[[#This Row],[MRI Brain Scans (NHS)]]+Table1[[#This Row],[Private Brain Scans]]</f>
        <v>66384.210000000006</v>
      </c>
      <c r="H43" s="18">
        <v>4401.1984299999995</v>
      </c>
      <c r="I43" s="7">
        <v>14.256344265759454</v>
      </c>
      <c r="J43" s="11">
        <v>188876</v>
      </c>
      <c r="K43" s="11">
        <f>Table1[[#This Row],[Patient Waiting List (MRI)]]*Table1[[#This Row],[MRI Brain %]]</f>
        <v>39098.098446108677</v>
      </c>
      <c r="L43" s="11">
        <v>4912</v>
      </c>
      <c r="M43" s="7">
        <f>Table1[[#This Row],[MRI 6+ Week Waiter]]*Table1[[#This Row],[MRI Brain %]]</f>
        <v>1016.8039325657353</v>
      </c>
      <c r="N43" s="12">
        <f>Table1[[#This Row],[Brain 6+ Week Waiters]]/Table1[[#This Row],[Brain Patients Waiting List]]</f>
        <v>2.600648044219488E-2</v>
      </c>
      <c r="O43" s="16">
        <v>464121</v>
      </c>
      <c r="P43" s="14">
        <v>20.95</v>
      </c>
      <c r="Q43" s="30"/>
    </row>
    <row r="44" spans="1:17" x14ac:dyDescent="0.35">
      <c r="A44" s="6">
        <v>43374</v>
      </c>
      <c r="B44" s="7">
        <v>55924500</v>
      </c>
      <c r="C44" s="17">
        <v>326555</v>
      </c>
      <c r="D44" s="18">
        <v>68095</v>
      </c>
      <c r="E44" s="10">
        <f>Table1[[#This Row],[MRI Brain Scans (NHS)]]/Table1[[#This Row],[MRI Scans (NHS)]]</f>
        <v>0.20852536326193138</v>
      </c>
      <c r="F44" s="7">
        <f>Table1[[#This Row],[MRI Brain Scans (NHS)]]*5.8%</f>
        <v>3949.5099999999998</v>
      </c>
      <c r="G44" s="7">
        <f>Table1[[#This Row],[MRI Brain Scans (NHS)]]+Table1[[#This Row],[Private Brain Scans]]</f>
        <v>72044.509999999995</v>
      </c>
      <c r="H44" s="18">
        <v>4427.4718899999998</v>
      </c>
      <c r="I44" s="7">
        <v>15.380108940680367</v>
      </c>
      <c r="J44" s="11">
        <v>203645</v>
      </c>
      <c r="K44" s="11">
        <f>Table1[[#This Row],[Patient Waiting List (MRI)]]*Table1[[#This Row],[MRI Brain %]]</f>
        <v>42465.147601476019</v>
      </c>
      <c r="L44" s="11">
        <v>4339</v>
      </c>
      <c r="M44" s="7">
        <f>Table1[[#This Row],[MRI 6+ Week Waiter]]*Table1[[#This Row],[MRI Brain %]]</f>
        <v>904.79155119352026</v>
      </c>
      <c r="N44" s="12">
        <f>Table1[[#This Row],[Brain 6+ Week Waiters]]/Table1[[#This Row],[Brain Patients Waiting List]]</f>
        <v>2.1306685653956638E-2</v>
      </c>
      <c r="O44" s="16">
        <v>463091</v>
      </c>
      <c r="P44" s="14">
        <v>20.95</v>
      </c>
      <c r="Q44" s="30"/>
    </row>
    <row r="45" spans="1:17" x14ac:dyDescent="0.35">
      <c r="A45" s="6">
        <v>43405</v>
      </c>
      <c r="B45" s="7">
        <v>55924500</v>
      </c>
      <c r="C45" s="17">
        <v>320600</v>
      </c>
      <c r="D45" s="18">
        <v>66875</v>
      </c>
      <c r="E45" s="10">
        <f>Table1[[#This Row],[MRI Brain Scans (NHS)]]/Table1[[#This Row],[MRI Scans (NHS)]]</f>
        <v>0.20859326263256395</v>
      </c>
      <c r="F45" s="7">
        <f>Table1[[#This Row],[MRI Brain Scans (NHS)]]*5.8%</f>
        <v>3878.7499999999995</v>
      </c>
      <c r="G45" s="7">
        <f>Table1[[#This Row],[MRI Brain Scans (NHS)]]+Table1[[#This Row],[Private Brain Scans]]</f>
        <v>70753.75</v>
      </c>
      <c r="H45" s="18">
        <v>4419.72588</v>
      </c>
      <c r="I45" s="7">
        <v>15.131028895393847</v>
      </c>
      <c r="J45" s="11">
        <v>211849</v>
      </c>
      <c r="K45" s="11">
        <f>Table1[[#This Row],[Patient Waiting List (MRI)]]*Table1[[#This Row],[MRI Brain %]]</f>
        <v>44190.274095446039</v>
      </c>
      <c r="L45" s="11">
        <v>4318</v>
      </c>
      <c r="M45" s="7">
        <f>Table1[[#This Row],[MRI 6+ Week Waiter]]*Table1[[#This Row],[MRI Brain %]]</f>
        <v>900.70570804741112</v>
      </c>
      <c r="N45" s="12">
        <f>Table1[[#This Row],[Brain 6+ Week Waiters]]/Table1[[#This Row],[Brain Patients Waiting List]]</f>
        <v>2.0382442211197598E-2</v>
      </c>
      <c r="O45" s="16">
        <v>465353</v>
      </c>
      <c r="P45" s="14">
        <v>20.95</v>
      </c>
      <c r="Q45" s="30"/>
    </row>
    <row r="46" spans="1:17" x14ac:dyDescent="0.35">
      <c r="A46" s="6">
        <v>43435</v>
      </c>
      <c r="B46" s="7">
        <v>55924500</v>
      </c>
      <c r="C46" s="17">
        <v>292780</v>
      </c>
      <c r="D46" s="18">
        <v>60920</v>
      </c>
      <c r="E46" s="10">
        <f>Table1[[#This Row],[MRI Brain Scans (NHS)]]/Table1[[#This Row],[MRI Scans (NHS)]]</f>
        <v>0.20807432201653117</v>
      </c>
      <c r="F46" s="7">
        <f>Table1[[#This Row],[MRI Brain Scans (NHS)]]*5.8%</f>
        <v>3533.3599999999997</v>
      </c>
      <c r="G46" s="7">
        <f>Table1[[#This Row],[MRI Brain Scans (NHS)]]+Table1[[#This Row],[Private Brain Scans]]</f>
        <v>64453.36</v>
      </c>
      <c r="H46" s="18">
        <v>4406.8490600000005</v>
      </c>
      <c r="I46" s="7">
        <v>13.823936143617315</v>
      </c>
      <c r="J46" s="11">
        <v>196059</v>
      </c>
      <c r="K46" s="11">
        <f>Table1[[#This Row],[Patient Waiting List (MRI)]]*Table1[[#This Row],[MRI Brain %]]</f>
        <v>40794.843500239083</v>
      </c>
      <c r="L46" s="11">
        <v>5339</v>
      </c>
      <c r="M46" s="7">
        <f>Table1[[#This Row],[MRI 6+ Week Waiter]]*Table1[[#This Row],[MRI Brain %]]</f>
        <v>1110.9088052462598</v>
      </c>
      <c r="N46" s="12">
        <f>Table1[[#This Row],[Brain 6+ Week Waiters]]/Table1[[#This Row],[Brain Patients Waiting List]]</f>
        <v>2.7231598651426353E-2</v>
      </c>
      <c r="O46" s="16">
        <v>465081</v>
      </c>
      <c r="P46" s="14">
        <v>20.95</v>
      </c>
      <c r="Q46" s="30"/>
    </row>
    <row r="47" spans="1:17" x14ac:dyDescent="0.35">
      <c r="A47" s="6">
        <v>43466</v>
      </c>
      <c r="B47" s="7">
        <v>56230100</v>
      </c>
      <c r="C47" s="17">
        <v>324475</v>
      </c>
      <c r="D47" s="18">
        <v>67750</v>
      </c>
      <c r="E47" s="10">
        <f>Table1[[#This Row],[MRI Brain Scans (NHS)]]/Table1[[#This Row],[MRI Scans (NHS)]]</f>
        <v>0.20879882887741735</v>
      </c>
      <c r="F47" s="7">
        <f>Table1[[#This Row],[MRI Brain Scans (NHS)]]*5.8%</f>
        <v>3929.4999999999995</v>
      </c>
      <c r="G47" s="7">
        <f>Table1[[#This Row],[MRI Brain Scans (NHS)]]+Table1[[#This Row],[Private Brain Scans]]</f>
        <v>71679.5</v>
      </c>
      <c r="H47" s="18">
        <v>4391.8269599999994</v>
      </c>
      <c r="I47" s="7">
        <v>15.426381917378642</v>
      </c>
      <c r="J47" s="11">
        <v>205344</v>
      </c>
      <c r="K47" s="11">
        <f>Table1[[#This Row],[Patient Waiting List (MRI)]]*Table1[[#This Row],[MRI Brain %]]</f>
        <v>42875.586717004386</v>
      </c>
      <c r="L47" s="11">
        <v>7673</v>
      </c>
      <c r="M47" s="7">
        <f>Table1[[#This Row],[MRI 6+ Week Waiter]]*Table1[[#This Row],[MRI Brain %]]</f>
        <v>1602.1134139764233</v>
      </c>
      <c r="N47" s="12">
        <f>Table1[[#This Row],[Brain 6+ Week Waiters]]/Table1[[#This Row],[Brain Patients Waiting List]]</f>
        <v>3.736656537322737E-2</v>
      </c>
      <c r="O47" s="16">
        <v>464413</v>
      </c>
      <c r="P47" s="14">
        <v>20.95</v>
      </c>
      <c r="Q47" s="30"/>
    </row>
    <row r="48" spans="1:17" x14ac:dyDescent="0.35">
      <c r="A48" s="6">
        <v>43497</v>
      </c>
      <c r="B48" s="7">
        <v>56230100</v>
      </c>
      <c r="C48" s="17">
        <v>296565</v>
      </c>
      <c r="D48" s="18">
        <v>61640</v>
      </c>
      <c r="E48" s="10">
        <f>Table1[[#This Row],[MRI Brain Scans (NHS)]]/Table1[[#This Row],[MRI Scans (NHS)]]</f>
        <v>0.20784650919697201</v>
      </c>
      <c r="F48" s="7">
        <f>Table1[[#This Row],[MRI Brain Scans (NHS)]]*5.8%</f>
        <v>3575.12</v>
      </c>
      <c r="G48" s="7">
        <f>Table1[[#This Row],[MRI Brain Scans (NHS)]]+Table1[[#This Row],[Private Brain Scans]]</f>
        <v>65215.12</v>
      </c>
      <c r="H48" s="18">
        <v>4392.9353599999995</v>
      </c>
      <c r="I48" s="7">
        <v>14.031620078288611</v>
      </c>
      <c r="J48" s="11">
        <v>211477</v>
      </c>
      <c r="K48" s="11">
        <f>Table1[[#This Row],[Patient Waiting List (MRI)]]*Table1[[#This Row],[MRI Brain %]]</f>
        <v>43954.756225448051</v>
      </c>
      <c r="L48" s="11">
        <v>4068</v>
      </c>
      <c r="M48" s="7">
        <f>Table1[[#This Row],[MRI 6+ Week Waiter]]*Table1[[#This Row],[MRI Brain %]]</f>
        <v>845.51959941328209</v>
      </c>
      <c r="N48" s="12">
        <f>Table1[[#This Row],[Brain 6+ Week Waiters]]/Table1[[#This Row],[Brain Patients Waiting List]]</f>
        <v>1.9236134425965942E-2</v>
      </c>
      <c r="O48" s="16">
        <v>464227</v>
      </c>
      <c r="P48" s="14">
        <v>20.95</v>
      </c>
      <c r="Q48" s="30"/>
    </row>
    <row r="49" spans="1:17" x14ac:dyDescent="0.35">
      <c r="A49" s="6">
        <v>43525</v>
      </c>
      <c r="B49" s="7">
        <v>56230100</v>
      </c>
      <c r="C49" s="17">
        <v>323100</v>
      </c>
      <c r="D49" s="18">
        <v>67640</v>
      </c>
      <c r="E49" s="10">
        <f>Table1[[#This Row],[MRI Brain Scans (NHS)]]/Table1[[#This Row],[MRI Scans (NHS)]]</f>
        <v>0.20934695140823276</v>
      </c>
      <c r="F49" s="7">
        <f>Table1[[#This Row],[MRI Brain Scans (NHS)]]*5.8%</f>
        <v>3923.12</v>
      </c>
      <c r="G49" s="7">
        <f>Table1[[#This Row],[MRI Brain Scans (NHS)]]+Table1[[#This Row],[Private Brain Scans]]</f>
        <v>71563.12</v>
      </c>
      <c r="H49" s="18">
        <v>4384.8374599999997</v>
      </c>
      <c r="I49" s="7">
        <v>15.425885364517024</v>
      </c>
      <c r="J49" s="11">
        <v>213049</v>
      </c>
      <c r="K49" s="11">
        <f>Table1[[#This Row],[Patient Waiting List (MRI)]]*Table1[[#This Row],[MRI Brain %]]</f>
        <v>44601.158650572579</v>
      </c>
      <c r="L49" s="11">
        <v>4301</v>
      </c>
      <c r="M49" s="7">
        <f>Table1[[#This Row],[MRI 6+ Week Waiter]]*Table1[[#This Row],[MRI Brain %]]</f>
        <v>900.40123800680908</v>
      </c>
      <c r="N49" s="12">
        <f>Table1[[#This Row],[Brain 6+ Week Waiters]]/Table1[[#This Row],[Brain Patients Waiting List]]</f>
        <v>2.0187844110979163E-2</v>
      </c>
      <c r="O49" s="16">
        <v>470313</v>
      </c>
      <c r="P49" s="14">
        <v>20.95</v>
      </c>
      <c r="Q49" s="30"/>
    </row>
    <row r="50" spans="1:17" x14ac:dyDescent="0.35">
      <c r="A50" s="6">
        <v>43556</v>
      </c>
      <c r="B50" s="7">
        <v>56230100</v>
      </c>
      <c r="C50" s="17">
        <v>308065</v>
      </c>
      <c r="D50" s="18">
        <v>64955</v>
      </c>
      <c r="E50" s="10">
        <f>Table1[[#This Row],[MRI Brain Scans (NHS)]]/Table1[[#This Row],[MRI Scans (NHS)]]</f>
        <v>0.21084835992404199</v>
      </c>
      <c r="F50" s="7">
        <f>Table1[[#This Row],[MRI Brain Scans (NHS)]]*5.8%</f>
        <v>3767.39</v>
      </c>
      <c r="G50" s="7">
        <f>Table1[[#This Row],[MRI Brain Scans (NHS)]]+Table1[[#This Row],[Private Brain Scans]]</f>
        <v>68722.39</v>
      </c>
      <c r="H50" s="18">
        <v>4371.9929400000001</v>
      </c>
      <c r="I50" s="7">
        <v>14.857068822256606</v>
      </c>
      <c r="J50" s="11">
        <v>206980</v>
      </c>
      <c r="K50" s="11">
        <f>Table1[[#This Row],[Patient Waiting List (MRI)]]*Table1[[#This Row],[MRI Brain %]]</f>
        <v>43641.393537078213</v>
      </c>
      <c r="L50" s="11">
        <v>6792</v>
      </c>
      <c r="M50" s="7">
        <f>Table1[[#This Row],[MRI 6+ Week Waiter]]*Table1[[#This Row],[MRI Brain %]]</f>
        <v>1432.0820606040932</v>
      </c>
      <c r="N50" s="12">
        <f>Table1[[#This Row],[Brain 6+ Week Waiters]]/Table1[[#This Row],[Brain Patients Waiting List]]</f>
        <v>3.281476471156633E-2</v>
      </c>
      <c r="O50" s="16">
        <v>469025</v>
      </c>
      <c r="P50" s="14">
        <v>21.26</v>
      </c>
      <c r="Q50" s="30"/>
    </row>
    <row r="51" spans="1:17" x14ac:dyDescent="0.35">
      <c r="A51" s="6">
        <v>43586</v>
      </c>
      <c r="B51" s="7">
        <v>56230100</v>
      </c>
      <c r="C51" s="17">
        <v>321470</v>
      </c>
      <c r="D51" s="18">
        <v>67655</v>
      </c>
      <c r="E51" s="10">
        <f>Table1[[#This Row],[MRI Brain Scans (NHS)]]/Table1[[#This Row],[MRI Scans (NHS)]]</f>
        <v>0.21045509689862196</v>
      </c>
      <c r="F51" s="7">
        <f>Table1[[#This Row],[MRI Brain Scans (NHS)]]*5.8%</f>
        <v>3923.99</v>
      </c>
      <c r="G51" s="7">
        <f>Table1[[#This Row],[MRI Brain Scans (NHS)]]+Table1[[#This Row],[Private Brain Scans]]</f>
        <v>71578.990000000005</v>
      </c>
      <c r="H51" s="18">
        <v>4364.45244</v>
      </c>
      <c r="I51" s="7">
        <v>15.501371805531692</v>
      </c>
      <c r="J51" s="11">
        <v>208181</v>
      </c>
      <c r="K51" s="11">
        <f>Table1[[#This Row],[Patient Waiting List (MRI)]]*Table1[[#This Row],[MRI Brain %]]</f>
        <v>43812.752527452016</v>
      </c>
      <c r="L51" s="11">
        <v>7202</v>
      </c>
      <c r="M51" s="7">
        <f>Table1[[#This Row],[MRI 6+ Week Waiter]]*Table1[[#This Row],[MRI Brain %]]</f>
        <v>1515.6976078638754</v>
      </c>
      <c r="N51" s="12">
        <f>Table1[[#This Row],[Brain 6+ Week Waiters]]/Table1[[#This Row],[Brain Patients Waiting List]]</f>
        <v>3.4594895787800041E-2</v>
      </c>
      <c r="O51" s="16">
        <v>470234</v>
      </c>
      <c r="P51" s="14">
        <v>21.26</v>
      </c>
      <c r="Q51" s="30"/>
    </row>
    <row r="52" spans="1:17" x14ac:dyDescent="0.35">
      <c r="A52" s="6">
        <v>43617</v>
      </c>
      <c r="B52" s="7">
        <v>56230100</v>
      </c>
      <c r="C52" s="17">
        <v>315900</v>
      </c>
      <c r="D52" s="18">
        <v>65610</v>
      </c>
      <c r="E52" s="10">
        <f>Table1[[#This Row],[MRI Brain Scans (NHS)]]/Table1[[#This Row],[MRI Scans (NHS)]]</f>
        <v>0.2076923076923077</v>
      </c>
      <c r="F52" s="7">
        <f>Table1[[#This Row],[MRI Brain Scans (NHS)]]*5.8%</f>
        <v>3805.3799999999997</v>
      </c>
      <c r="G52" s="7">
        <f>Table1[[#This Row],[MRI Brain Scans (NHS)]]+Table1[[#This Row],[Private Brain Scans]]</f>
        <v>69415.38</v>
      </c>
      <c r="H52" s="18">
        <v>4383.4083499999997</v>
      </c>
      <c r="I52" s="7">
        <v>14.967804676468257</v>
      </c>
      <c r="J52" s="11">
        <v>209425</v>
      </c>
      <c r="K52" s="11">
        <f>Table1[[#This Row],[Patient Waiting List (MRI)]]*Table1[[#This Row],[MRI Brain %]]</f>
        <v>43495.961538461539</v>
      </c>
      <c r="L52" s="11">
        <v>6510</v>
      </c>
      <c r="M52" s="7">
        <f>Table1[[#This Row],[MRI 6+ Week Waiter]]*Table1[[#This Row],[MRI Brain %]]</f>
        <v>1352.0769230769231</v>
      </c>
      <c r="N52" s="12">
        <f>Table1[[#This Row],[Brain 6+ Week Waiters]]/Table1[[#This Row],[Brain Patients Waiting List]]</f>
        <v>3.108511400262624E-2</v>
      </c>
      <c r="O52" s="16">
        <v>472408</v>
      </c>
      <c r="P52" s="14">
        <v>21.26</v>
      </c>
      <c r="Q52" s="30"/>
    </row>
    <row r="53" spans="1:17" x14ac:dyDescent="0.35">
      <c r="A53" s="6">
        <v>43647</v>
      </c>
      <c r="B53" s="7">
        <v>56230100</v>
      </c>
      <c r="C53" s="17">
        <v>334875</v>
      </c>
      <c r="D53" s="18">
        <v>70270</v>
      </c>
      <c r="E53" s="10">
        <f>Table1[[#This Row],[MRI Brain Scans (NHS)]]/Table1[[#This Row],[MRI Scans (NHS)]]</f>
        <v>0.20983949234789101</v>
      </c>
      <c r="F53" s="7">
        <f>Table1[[#This Row],[MRI Brain Scans (NHS)]]*5.8%</f>
        <v>4075.66</v>
      </c>
      <c r="G53" s="7">
        <f>Table1[[#This Row],[MRI Brain Scans (NHS)]]+Table1[[#This Row],[Private Brain Scans]]</f>
        <v>74345.66</v>
      </c>
      <c r="H53" s="18">
        <v>4374.9141</v>
      </c>
      <c r="I53" s="7">
        <v>16.06202965219363</v>
      </c>
      <c r="J53" s="11">
        <v>211886</v>
      </c>
      <c r="K53" s="11">
        <f>Table1[[#This Row],[Patient Waiting List (MRI)]]*Table1[[#This Row],[MRI Brain %]]</f>
        <v>44462.050675625236</v>
      </c>
      <c r="L53" s="11">
        <v>5409</v>
      </c>
      <c r="M53" s="7">
        <f>Table1[[#This Row],[MRI 6+ Week Waiter]]*Table1[[#This Row],[MRI Brain %]]</f>
        <v>1135.0218141097425</v>
      </c>
      <c r="N53" s="12">
        <f>Table1[[#This Row],[Brain 6+ Week Waiters]]/Table1[[#This Row],[Brain Patients Waiting List]]</f>
        <v>2.5527878198653993E-2</v>
      </c>
      <c r="O53" s="16">
        <v>475250</v>
      </c>
      <c r="P53" s="14">
        <v>21.26</v>
      </c>
      <c r="Q53" s="30"/>
    </row>
    <row r="54" spans="1:17" x14ac:dyDescent="0.35">
      <c r="A54" s="6">
        <v>43678</v>
      </c>
      <c r="B54" s="7">
        <v>56230100</v>
      </c>
      <c r="C54" s="17">
        <v>322280</v>
      </c>
      <c r="D54" s="18">
        <v>68020</v>
      </c>
      <c r="E54" s="10">
        <f>Table1[[#This Row],[MRI Brain Scans (NHS)]]/Table1[[#This Row],[MRI Scans (NHS)]]</f>
        <v>0.21105870671465807</v>
      </c>
      <c r="F54" s="7">
        <f>Table1[[#This Row],[MRI Brain Scans (NHS)]]*5.8%</f>
        <v>3945.16</v>
      </c>
      <c r="G54" s="7">
        <f>Table1[[#This Row],[MRI Brain Scans (NHS)]]+Table1[[#This Row],[Private Brain Scans]]</f>
        <v>71965.16</v>
      </c>
      <c r="H54" s="18">
        <v>4477.1990599999999</v>
      </c>
      <c r="I54" s="7">
        <v>15.192534235902391</v>
      </c>
      <c r="J54" s="11">
        <v>188326</v>
      </c>
      <c r="K54" s="11">
        <f>Table1[[#This Row],[Patient Waiting List (MRI)]]*Table1[[#This Row],[MRI Brain %]]</f>
        <v>39747.842000744698</v>
      </c>
      <c r="L54" s="11">
        <v>4744</v>
      </c>
      <c r="M54" s="7">
        <f>Table1[[#This Row],[MRI 6+ Week Waiter]]*Table1[[#This Row],[MRI Brain %]]</f>
        <v>1001.2625046543378</v>
      </c>
      <c r="N54" s="12">
        <f>Table1[[#This Row],[Brain 6+ Week Waiters]]/Table1[[#This Row],[Brain Patients Waiting List]]</f>
        <v>2.5190361394602973E-2</v>
      </c>
      <c r="O54" s="16">
        <v>477604</v>
      </c>
      <c r="P54" s="14">
        <v>21.26</v>
      </c>
      <c r="Q54" s="30"/>
    </row>
    <row r="55" spans="1:17" x14ac:dyDescent="0.35">
      <c r="A55" s="6">
        <v>43709</v>
      </c>
      <c r="B55" s="7">
        <v>56230100</v>
      </c>
      <c r="C55" s="17">
        <v>320855</v>
      </c>
      <c r="D55" s="18">
        <v>67320</v>
      </c>
      <c r="E55" s="10">
        <f>Table1[[#This Row],[MRI Brain Scans (NHS)]]/Table1[[#This Row],[MRI Scans (NHS)]]</f>
        <v>0.20981440214427077</v>
      </c>
      <c r="F55" s="7">
        <f>Table1[[#This Row],[MRI Brain Scans (NHS)]]*5.8%</f>
        <v>3904.56</v>
      </c>
      <c r="G55" s="7">
        <f>Table1[[#This Row],[MRI Brain Scans (NHS)]]+Table1[[#This Row],[Private Brain Scans]]</f>
        <v>71224.56</v>
      </c>
      <c r="H55" s="18">
        <v>4592.0830499999993</v>
      </c>
      <c r="I55" s="7">
        <v>14.660013607550066</v>
      </c>
      <c r="J55" s="11">
        <v>195632</v>
      </c>
      <c r="K55" s="11">
        <f>Table1[[#This Row],[Patient Waiting List (MRI)]]*Table1[[#This Row],[MRI Brain %]]</f>
        <v>41046.411120287979</v>
      </c>
      <c r="L55" s="11">
        <v>4868</v>
      </c>
      <c r="M55" s="7">
        <f>Table1[[#This Row],[MRI 6+ Week Waiter]]*Table1[[#This Row],[MRI Brain %]]</f>
        <v>1021.3765096383102</v>
      </c>
      <c r="N55" s="12">
        <f>Table1[[#This Row],[Brain 6+ Week Waiters]]/Table1[[#This Row],[Brain Patients Waiting List]]</f>
        <v>2.4883454649546086E-2</v>
      </c>
      <c r="O55" s="16">
        <v>478439</v>
      </c>
      <c r="P55" s="14">
        <v>21.26</v>
      </c>
      <c r="Q55" s="30"/>
    </row>
    <row r="56" spans="1:17" x14ac:dyDescent="0.35">
      <c r="A56" s="6">
        <v>43739</v>
      </c>
      <c r="B56" s="7">
        <v>56230100</v>
      </c>
      <c r="C56" s="17">
        <v>340420</v>
      </c>
      <c r="D56" s="18">
        <v>71755</v>
      </c>
      <c r="E56" s="10">
        <f>Table1[[#This Row],[MRI Brain Scans (NHS)]]/Table1[[#This Row],[MRI Scans (NHS)]]</f>
        <v>0.21078373773573822</v>
      </c>
      <c r="F56" s="7">
        <f>Table1[[#This Row],[MRI Brain Scans (NHS)]]*5.8%</f>
        <v>4161.79</v>
      </c>
      <c r="G56" s="7">
        <f>Table1[[#This Row],[MRI Brain Scans (NHS)]]+Table1[[#This Row],[Private Brain Scans]]</f>
        <v>75916.789999999994</v>
      </c>
      <c r="H56" s="18">
        <v>4612.0235999999995</v>
      </c>
      <c r="I56" s="7">
        <v>15.558246492927749</v>
      </c>
      <c r="J56" s="11">
        <v>215073</v>
      </c>
      <c r="K56" s="11">
        <f>Table1[[#This Row],[Patient Waiting List (MRI)]]*Table1[[#This Row],[MRI Brain %]]</f>
        <v>45333.890826038427</v>
      </c>
      <c r="L56" s="11">
        <v>4754</v>
      </c>
      <c r="M56" s="7">
        <f>Table1[[#This Row],[MRI 6+ Week Waiter]]*Table1[[#This Row],[MRI Brain %]]</f>
        <v>1002.0658891956995</v>
      </c>
      <c r="N56" s="12">
        <f>Table1[[#This Row],[Brain 6+ Week Waiters]]/Table1[[#This Row],[Brain Patients Waiting List]]</f>
        <v>2.2104122786216773E-2</v>
      </c>
      <c r="O56" s="16">
        <v>474339</v>
      </c>
      <c r="P56" s="14">
        <v>21.26</v>
      </c>
      <c r="Q56" s="30"/>
    </row>
    <row r="57" spans="1:17" x14ac:dyDescent="0.35">
      <c r="A57" s="6">
        <v>43770</v>
      </c>
      <c r="B57" s="7">
        <v>56230100</v>
      </c>
      <c r="C57" s="17">
        <v>326245</v>
      </c>
      <c r="D57" s="18">
        <v>69410</v>
      </c>
      <c r="E57" s="10">
        <f>Table1[[#This Row],[MRI Brain Scans (NHS)]]/Table1[[#This Row],[MRI Scans (NHS)]]</f>
        <v>0.21275421845545525</v>
      </c>
      <c r="F57" s="7">
        <f>Table1[[#This Row],[MRI Brain Scans (NHS)]]*5.8%</f>
        <v>4025.7799999999997</v>
      </c>
      <c r="G57" s="7">
        <f>Table1[[#This Row],[MRI Brain Scans (NHS)]]+Table1[[#This Row],[Private Brain Scans]]</f>
        <v>73435.78</v>
      </c>
      <c r="H57" s="18">
        <v>4625.8816500000003</v>
      </c>
      <c r="I57" s="7">
        <v>15.004707264830261</v>
      </c>
      <c r="J57" s="11">
        <v>217252</v>
      </c>
      <c r="K57" s="11">
        <f>Table1[[#This Row],[Patient Waiting List (MRI)]]*Table1[[#This Row],[MRI Brain %]]</f>
        <v>46221.279467884568</v>
      </c>
      <c r="L57" s="11">
        <v>4793</v>
      </c>
      <c r="M57" s="7">
        <f>Table1[[#This Row],[MRI 6+ Week Waiter]]*Table1[[#This Row],[MRI Brain %]]</f>
        <v>1019.730969056997</v>
      </c>
      <c r="N57" s="12">
        <f>Table1[[#This Row],[Brain 6+ Week Waiters]]/Table1[[#This Row],[Brain Patients Waiting List]]</f>
        <v>2.2061937289415055E-2</v>
      </c>
      <c r="O57" s="16">
        <v>474693</v>
      </c>
      <c r="P57" s="14">
        <v>21.26</v>
      </c>
      <c r="Q57" s="30"/>
    </row>
    <row r="58" spans="1:17" x14ac:dyDescent="0.35">
      <c r="A58" s="6">
        <v>43800</v>
      </c>
      <c r="B58" s="7">
        <v>56230100</v>
      </c>
      <c r="C58" s="17">
        <v>303340</v>
      </c>
      <c r="D58" s="18">
        <v>63585</v>
      </c>
      <c r="E58" s="10">
        <f>Table1[[#This Row],[MRI Brain Scans (NHS)]]/Table1[[#This Row],[MRI Scans (NHS)]]</f>
        <v>0.20961627216984241</v>
      </c>
      <c r="F58" s="7">
        <f>Table1[[#This Row],[MRI Brain Scans (NHS)]]*5.8%</f>
        <v>3687.93</v>
      </c>
      <c r="G58" s="7">
        <f>Table1[[#This Row],[MRI Brain Scans (NHS)]]+Table1[[#This Row],[Private Brain Scans]]</f>
        <v>67272.929999999993</v>
      </c>
      <c r="H58" s="18">
        <v>4617.3976499999999</v>
      </c>
      <c r="I58" s="7">
        <v>13.770743786816801</v>
      </c>
      <c r="J58" s="11">
        <v>202893</v>
      </c>
      <c r="K58" s="11">
        <f>Table1[[#This Row],[Patient Waiting List (MRI)]]*Table1[[#This Row],[MRI Brain %]]</f>
        <v>42529.674309355833</v>
      </c>
      <c r="L58" s="11">
        <v>6842</v>
      </c>
      <c r="M58" s="7">
        <f>Table1[[#This Row],[MRI 6+ Week Waiter]]*Table1[[#This Row],[MRI Brain %]]</f>
        <v>1434.1945341860617</v>
      </c>
      <c r="N58" s="12">
        <f>Table1[[#This Row],[Brain 6+ Week Waiters]]/Table1[[#This Row],[Brain Patients Waiting List]]</f>
        <v>3.3722208257554474E-2</v>
      </c>
      <c r="O58" s="16">
        <v>472890</v>
      </c>
      <c r="P58" s="14">
        <v>21.26</v>
      </c>
      <c r="Q58" s="30"/>
    </row>
    <row r="59" spans="1:17" x14ac:dyDescent="0.35">
      <c r="A59" s="6">
        <v>43831</v>
      </c>
      <c r="B59" s="7">
        <v>56326000</v>
      </c>
      <c r="C59" s="17">
        <v>333005</v>
      </c>
      <c r="D59" s="18">
        <v>71230</v>
      </c>
      <c r="E59" s="10">
        <f>Table1[[#This Row],[MRI Brain Scans (NHS)]]/Table1[[#This Row],[MRI Scans (NHS)]]</f>
        <v>0.21390069218179908</v>
      </c>
      <c r="F59" s="7">
        <f>Table1[[#This Row],[MRI Brain Scans (NHS)]]*5.8%</f>
        <v>4131.34</v>
      </c>
      <c r="G59" s="7">
        <f>Table1[[#This Row],[MRI Brain Scans (NHS)]]+Table1[[#This Row],[Private Brain Scans]]</f>
        <v>75361.34</v>
      </c>
      <c r="H59" s="18">
        <v>4608.4673999999995</v>
      </c>
      <c r="I59" s="7">
        <v>15.45633153442726</v>
      </c>
      <c r="J59" s="11">
        <v>213520</v>
      </c>
      <c r="K59" s="11">
        <f>Table1[[#This Row],[Patient Waiting List (MRI)]]*Table1[[#This Row],[MRI Brain %]]</f>
        <v>45672.075794657736</v>
      </c>
      <c r="L59" s="11">
        <v>9229</v>
      </c>
      <c r="M59" s="7">
        <f>Table1[[#This Row],[MRI 6+ Week Waiter]]*Table1[[#This Row],[MRI Brain %]]</f>
        <v>1974.0894881458237</v>
      </c>
      <c r="N59" s="12">
        <f>Table1[[#This Row],[Brain 6+ Week Waiters]]/Table1[[#This Row],[Brain Patients Waiting List]]</f>
        <v>4.3223117272386667E-2</v>
      </c>
      <c r="O59" s="16">
        <v>470764</v>
      </c>
      <c r="P59" s="14">
        <v>21.26</v>
      </c>
      <c r="Q59" s="30"/>
    </row>
    <row r="60" spans="1:17" x14ac:dyDescent="0.35">
      <c r="A60" s="6">
        <v>43862</v>
      </c>
      <c r="B60" s="7">
        <v>56326000</v>
      </c>
      <c r="C60" s="17">
        <v>314410</v>
      </c>
      <c r="D60" s="18">
        <v>66335</v>
      </c>
      <c r="E60" s="10">
        <f>Table1[[#This Row],[MRI Brain Scans (NHS)]]/Table1[[#This Row],[MRI Scans (NHS)]]</f>
        <v>0.21098247511211476</v>
      </c>
      <c r="F60" s="7">
        <f>Table1[[#This Row],[MRI Brain Scans (NHS)]]*5.8%</f>
        <v>3847.43</v>
      </c>
      <c r="G60" s="7">
        <f>Table1[[#This Row],[MRI Brain Scans (NHS)]]+Table1[[#This Row],[Private Brain Scans]]</f>
        <v>70182.429999999993</v>
      </c>
      <c r="H60" s="18">
        <v>4615.5854200000003</v>
      </c>
      <c r="I60" s="7">
        <v>14.371958042973452</v>
      </c>
      <c r="J60" s="11">
        <v>217795</v>
      </c>
      <c r="K60" s="11">
        <f>Table1[[#This Row],[Patient Waiting List (MRI)]]*Table1[[#This Row],[MRI Brain %]]</f>
        <v>45950.928167043036</v>
      </c>
      <c r="L60" s="11">
        <v>5736</v>
      </c>
      <c r="M60" s="7">
        <f>Table1[[#This Row],[MRI 6+ Week Waiter]]*Table1[[#This Row],[MRI Brain %]]</f>
        <v>1210.1954772430902</v>
      </c>
      <c r="N60" s="12">
        <f>Table1[[#This Row],[Brain 6+ Week Waiters]]/Table1[[#This Row],[Brain Patients Waiting List]]</f>
        <v>2.6336692761541814E-2</v>
      </c>
      <c r="O60" s="16">
        <v>471252</v>
      </c>
      <c r="P60" s="14">
        <v>21.26</v>
      </c>
      <c r="Q60" s="30"/>
    </row>
    <row r="61" spans="1:17" x14ac:dyDescent="0.35">
      <c r="A61" s="6">
        <v>43891</v>
      </c>
      <c r="B61" s="7">
        <v>56326000</v>
      </c>
      <c r="C61" s="17">
        <v>270555</v>
      </c>
      <c r="D61" s="18">
        <v>56340</v>
      </c>
      <c r="E61" s="10">
        <f>Table1[[#This Row],[MRI Brain Scans (NHS)]]/Table1[[#This Row],[MRI Scans (NHS)]]</f>
        <v>0.20823862061318402</v>
      </c>
      <c r="F61" s="7">
        <f>Table1[[#This Row],[MRI Brain Scans (NHS)]]*5.8%</f>
        <v>3267.72</v>
      </c>
      <c r="G61" s="7">
        <f>Table1[[#This Row],[MRI Brain Scans (NHS)]]+Table1[[#This Row],[Private Brain Scans]]</f>
        <v>59607.72</v>
      </c>
      <c r="H61" s="18">
        <v>4614.8932700000005</v>
      </c>
      <c r="I61" s="7">
        <v>12.208299673201324</v>
      </c>
      <c r="J61" s="11">
        <v>160852</v>
      </c>
      <c r="K61" s="11">
        <f>Table1[[#This Row],[Patient Waiting List (MRI)]]*Table1[[#This Row],[MRI Brain %]]</f>
        <v>33495.598602871876</v>
      </c>
      <c r="L61" s="11">
        <v>15710</v>
      </c>
      <c r="M61" s="7">
        <f>Table1[[#This Row],[MRI 6+ Week Waiter]]*Table1[[#This Row],[MRI Brain %]]</f>
        <v>3271.428729833121</v>
      </c>
      <c r="N61" s="12">
        <f>Table1[[#This Row],[Brain 6+ Week Waiters]]/Table1[[#This Row],[Brain Patients Waiting List]]</f>
        <v>9.7667420983264114E-2</v>
      </c>
      <c r="O61" s="16">
        <v>470292</v>
      </c>
      <c r="P61" s="14">
        <v>21.26</v>
      </c>
      <c r="Q61" s="30"/>
    </row>
    <row r="62" spans="1:17" x14ac:dyDescent="0.35">
      <c r="A62" s="6">
        <v>43922</v>
      </c>
      <c r="B62" s="7">
        <v>56326000</v>
      </c>
      <c r="C62" s="17">
        <v>100585</v>
      </c>
      <c r="D62" s="18">
        <v>27270</v>
      </c>
      <c r="E62" s="10">
        <f>Table1[[#This Row],[MRI Brain Scans (NHS)]]/Table1[[#This Row],[MRI Scans (NHS)]]</f>
        <v>0.27111398319829</v>
      </c>
      <c r="F62" s="7">
        <f>Table1[[#This Row],[MRI Brain Scans (NHS)]]*5.8%</f>
        <v>1581.6599999999999</v>
      </c>
      <c r="G62" s="7">
        <f>Table1[[#This Row],[MRI Brain Scans (NHS)]]+Table1[[#This Row],[Private Brain Scans]]</f>
        <v>28851.66</v>
      </c>
      <c r="H62" s="18">
        <v>4600.4270299999998</v>
      </c>
      <c r="I62" s="7">
        <v>5.9277105847280449</v>
      </c>
      <c r="J62" s="11">
        <v>143863</v>
      </c>
      <c r="K62" s="11">
        <f>Table1[[#This Row],[Patient Waiting List (MRI)]]*Table1[[#This Row],[MRI Brain %]]</f>
        <v>39003.270964855597</v>
      </c>
      <c r="L62" s="11">
        <v>79248</v>
      </c>
      <c r="M62" s="7">
        <f>Table1[[#This Row],[MRI 6+ Week Waiter]]*Table1[[#This Row],[MRI Brain %]]</f>
        <v>21485.240940498086</v>
      </c>
      <c r="N62" s="12">
        <f>Table1[[#This Row],[Brain 6+ Week Waiters]]/Table1[[#This Row],[Brain Patients Waiting List]]</f>
        <v>0.55085741295538115</v>
      </c>
      <c r="O62" s="16">
        <v>453377</v>
      </c>
      <c r="P62" s="14">
        <v>21.56</v>
      </c>
      <c r="Q62" s="30"/>
    </row>
    <row r="63" spans="1:17" x14ac:dyDescent="0.35">
      <c r="A63" s="6">
        <v>43952</v>
      </c>
      <c r="B63" s="7">
        <v>56326000</v>
      </c>
      <c r="C63" s="17">
        <v>145315</v>
      </c>
      <c r="D63" s="18">
        <v>39345</v>
      </c>
      <c r="E63" s="10">
        <f>Table1[[#This Row],[MRI Brain Scans (NHS)]]/Table1[[#This Row],[MRI Scans (NHS)]]</f>
        <v>0.27075663214396312</v>
      </c>
      <c r="F63" s="7">
        <f>Table1[[#This Row],[MRI Brain Scans (NHS)]]*5.8%</f>
        <v>2282.0099999999998</v>
      </c>
      <c r="G63" s="7">
        <f>Table1[[#This Row],[MRI Brain Scans (NHS)]]+Table1[[#This Row],[Private Brain Scans]]</f>
        <v>41627.01</v>
      </c>
      <c r="H63" s="18">
        <v>4591.4426199999998</v>
      </c>
      <c r="I63" s="7">
        <v>8.5692021563366509</v>
      </c>
      <c r="J63" s="11">
        <v>161229</v>
      </c>
      <c r="K63" s="11">
        <f>Table1[[#This Row],[Patient Waiting List (MRI)]]*Table1[[#This Row],[MRI Brain %]]</f>
        <v>43653.821043939031</v>
      </c>
      <c r="L63" s="11">
        <v>87932</v>
      </c>
      <c r="M63" s="7">
        <f>Table1[[#This Row],[MRI 6+ Week Waiter]]*Table1[[#This Row],[MRI Brain %]]</f>
        <v>23808.172177682965</v>
      </c>
      <c r="N63" s="12">
        <f>Table1[[#This Row],[Brain 6+ Week Waiters]]/Table1[[#This Row],[Brain Patients Waiting List]]</f>
        <v>0.54538575566430358</v>
      </c>
      <c r="O63" s="16">
        <v>444442</v>
      </c>
      <c r="P63" s="14">
        <v>21.56</v>
      </c>
      <c r="Q63" s="30"/>
    </row>
    <row r="64" spans="1:17" x14ac:dyDescent="0.35">
      <c r="A64" s="6">
        <v>43983</v>
      </c>
      <c r="B64" s="7">
        <v>56326000</v>
      </c>
      <c r="C64" s="17">
        <v>214630</v>
      </c>
      <c r="D64" s="18">
        <v>52415</v>
      </c>
      <c r="E64" s="10">
        <f>Table1[[#This Row],[MRI Brain Scans (NHS)]]/Table1[[#This Row],[MRI Scans (NHS)]]</f>
        <v>0.24421096771187625</v>
      </c>
      <c r="F64" s="7">
        <f>Table1[[#This Row],[MRI Brain Scans (NHS)]]*5.8%</f>
        <v>3040.0699999999997</v>
      </c>
      <c r="G64" s="7">
        <f>Table1[[#This Row],[MRI Brain Scans (NHS)]]+Table1[[#This Row],[Private Brain Scans]]</f>
        <v>55455.07</v>
      </c>
      <c r="H64" s="18">
        <v>4577.7533199999998</v>
      </c>
      <c r="I64" s="7">
        <v>11.449939814581359</v>
      </c>
      <c r="J64" s="11">
        <v>185099</v>
      </c>
      <c r="K64" s="11">
        <f>Table1[[#This Row],[Patient Waiting List (MRI)]]*Table1[[#This Row],[MRI Brain %]]</f>
        <v>45203.205912500584</v>
      </c>
      <c r="L64" s="11">
        <v>73091</v>
      </c>
      <c r="M64" s="7">
        <f>Table1[[#This Row],[MRI 6+ Week Waiter]]*Table1[[#This Row],[MRI Brain %]]</f>
        <v>17849.623841028748</v>
      </c>
      <c r="N64" s="12">
        <f>Table1[[#This Row],[Brain 6+ Week Waiters]]/Table1[[#This Row],[Brain Patients Waiting List]]</f>
        <v>0.39487517490640145</v>
      </c>
      <c r="O64" s="16">
        <v>441752</v>
      </c>
      <c r="P64" s="14">
        <v>21.56</v>
      </c>
      <c r="Q64" s="30"/>
    </row>
    <row r="65" spans="1:17" x14ac:dyDescent="0.35">
      <c r="A65" s="6">
        <v>44013</v>
      </c>
      <c r="B65" s="7">
        <v>56326000</v>
      </c>
      <c r="C65" s="17">
        <v>261870</v>
      </c>
      <c r="D65" s="18">
        <v>61230</v>
      </c>
      <c r="E65" s="10">
        <f>Table1[[#This Row],[MRI Brain Scans (NHS)]]/Table1[[#This Row],[MRI Scans (NHS)]]</f>
        <v>0.23381830679344712</v>
      </c>
      <c r="F65" s="7">
        <f>Table1[[#This Row],[MRI Brain Scans (NHS)]]*5.8%</f>
        <v>3551.3399999999997</v>
      </c>
      <c r="G65" s="7">
        <f>Table1[[#This Row],[MRI Brain Scans (NHS)]]+Table1[[#This Row],[Private Brain Scans]]</f>
        <v>64781.34</v>
      </c>
      <c r="H65" s="18">
        <v>4567.5101199999999</v>
      </c>
      <c r="I65" s="7">
        <v>13.405553220755644</v>
      </c>
      <c r="J65" s="11">
        <v>203821</v>
      </c>
      <c r="K65" s="11">
        <f>Table1[[#This Row],[Patient Waiting List (MRI)]]*Table1[[#This Row],[MRI Brain %]]</f>
        <v>47657.081108947183</v>
      </c>
      <c r="L65" s="11">
        <v>60065</v>
      </c>
      <c r="M65" s="7">
        <f>Table1[[#This Row],[MRI 6+ Week Waiter]]*Table1[[#This Row],[MRI Brain %]]</f>
        <v>14044.2965975484</v>
      </c>
      <c r="N65" s="12">
        <f>Table1[[#This Row],[Brain 6+ Week Waiters]]/Table1[[#This Row],[Brain Patients Waiting List]]</f>
        <v>0.29469485479906388</v>
      </c>
      <c r="O65" s="16">
        <v>441314</v>
      </c>
      <c r="P65" s="14">
        <v>21.56</v>
      </c>
      <c r="Q65" s="30"/>
    </row>
    <row r="66" spans="1:17" x14ac:dyDescent="0.35">
      <c r="A66" s="6">
        <v>44044</v>
      </c>
      <c r="B66" s="7">
        <v>56326000</v>
      </c>
      <c r="C66" s="17">
        <v>264410</v>
      </c>
      <c r="D66" s="18">
        <v>59730</v>
      </c>
      <c r="E66" s="10">
        <f>Table1[[#This Row],[MRI Brain Scans (NHS)]]/Table1[[#This Row],[MRI Scans (NHS)]]</f>
        <v>0.225899171740857</v>
      </c>
      <c r="F66" s="7">
        <f>Table1[[#This Row],[MRI Brain Scans (NHS)]]*5.8%</f>
        <v>3464.3399999999997</v>
      </c>
      <c r="G66" s="7">
        <f>Table1[[#This Row],[MRI Brain Scans (NHS)]]+Table1[[#This Row],[Private Brain Scans]]</f>
        <v>63194.34</v>
      </c>
      <c r="H66" s="18">
        <v>4669.2567200000003</v>
      </c>
      <c r="I66" s="7">
        <v>12.792185904912078</v>
      </c>
      <c r="J66" s="11">
        <v>199546</v>
      </c>
      <c r="K66" s="11">
        <f>Table1[[#This Row],[Patient Waiting List (MRI)]]*Table1[[#This Row],[MRI Brain %]]</f>
        <v>45077.276124201053</v>
      </c>
      <c r="L66" s="11">
        <v>55988</v>
      </c>
      <c r="M66" s="7">
        <f>Table1[[#This Row],[MRI 6+ Week Waiter]]*Table1[[#This Row],[MRI Brain %]]</f>
        <v>12647.642827427102</v>
      </c>
      <c r="N66" s="12">
        <f>Table1[[#This Row],[Brain 6+ Week Waiters]]/Table1[[#This Row],[Brain Patients Waiting List]]</f>
        <v>0.28057690958475739</v>
      </c>
      <c r="O66" s="16">
        <v>441447</v>
      </c>
      <c r="P66" s="14">
        <v>21.56</v>
      </c>
      <c r="Q66" s="30"/>
    </row>
    <row r="67" spans="1:17" x14ac:dyDescent="0.35">
      <c r="A67" s="6">
        <v>44075</v>
      </c>
      <c r="B67" s="7">
        <v>56326000</v>
      </c>
      <c r="C67" s="17">
        <v>280730</v>
      </c>
      <c r="D67" s="18">
        <v>62595</v>
      </c>
      <c r="E67" s="10">
        <f>Table1[[#This Row],[MRI Brain Scans (NHS)]]/Table1[[#This Row],[MRI Scans (NHS)]]</f>
        <v>0.22297225091725145</v>
      </c>
      <c r="F67" s="7">
        <f>Table1[[#This Row],[MRI Brain Scans (NHS)]]*5.8%</f>
        <v>3630.5099999999998</v>
      </c>
      <c r="G67" s="7">
        <f>Table1[[#This Row],[MRI Brain Scans (NHS)]]+Table1[[#This Row],[Private Brain Scans]]</f>
        <v>66225.509999999995</v>
      </c>
      <c r="H67" s="18">
        <v>4776.7129699999996</v>
      </c>
      <c r="I67" s="7">
        <v>13.104199560058557</v>
      </c>
      <c r="J67" s="11">
        <v>215327</v>
      </c>
      <c r="K67" s="11">
        <f>Table1[[#This Row],[Patient Waiting List (MRI)]]*Table1[[#This Row],[MRI Brain %]]</f>
        <v>48011.945873259006</v>
      </c>
      <c r="L67" s="11">
        <v>48571</v>
      </c>
      <c r="M67" s="7">
        <f>Table1[[#This Row],[MRI 6+ Week Waiter]]*Table1[[#This Row],[MRI Brain %]]</f>
        <v>10829.98519930182</v>
      </c>
      <c r="N67" s="12">
        <f>Table1[[#This Row],[Brain 6+ Week Waiters]]/Table1[[#This Row],[Brain Patients Waiting List]]</f>
        <v>0.22556855387387553</v>
      </c>
      <c r="O67" s="16">
        <v>441909</v>
      </c>
      <c r="P67" s="14">
        <v>21.56</v>
      </c>
      <c r="Q67" s="30"/>
    </row>
    <row r="68" spans="1:17" x14ac:dyDescent="0.35">
      <c r="A68" s="6">
        <v>44105</v>
      </c>
      <c r="B68" s="7">
        <v>56326000</v>
      </c>
      <c r="C68" s="17">
        <v>300030</v>
      </c>
      <c r="D68" s="18">
        <v>66035</v>
      </c>
      <c r="E68" s="10">
        <f>Table1[[#This Row],[MRI Brain Scans (NHS)]]/Table1[[#This Row],[MRI Scans (NHS)]]</f>
        <v>0.22009465720094656</v>
      </c>
      <c r="F68" s="7">
        <f>Table1[[#This Row],[MRI Brain Scans (NHS)]]*5.8%</f>
        <v>3830.0299999999997</v>
      </c>
      <c r="G68" s="7">
        <f>Table1[[#This Row],[MRI Brain Scans (NHS)]]+Table1[[#This Row],[Private Brain Scans]]</f>
        <v>69865.03</v>
      </c>
      <c r="H68" s="18">
        <v>4799.1811200000002</v>
      </c>
      <c r="I68" s="7">
        <v>13.759639061090487</v>
      </c>
      <c r="J68" s="11">
        <v>215789</v>
      </c>
      <c r="K68" s="11">
        <f>Table1[[#This Row],[Patient Waiting List (MRI)]]*Table1[[#This Row],[MRI Brain %]]</f>
        <v>47494.005982735056</v>
      </c>
      <c r="L68" s="11">
        <v>42297</v>
      </c>
      <c r="M68" s="7">
        <f>Table1[[#This Row],[MRI 6+ Week Waiter]]*Table1[[#This Row],[MRI Brain %]]</f>
        <v>9309.3437156284363</v>
      </c>
      <c r="N68" s="12">
        <f>Table1[[#This Row],[Brain 6+ Week Waiters]]/Table1[[#This Row],[Brain Patients Waiting List]]</f>
        <v>0.19601091807274698</v>
      </c>
      <c r="O68" s="16">
        <v>441900</v>
      </c>
      <c r="P68" s="14">
        <v>21.56</v>
      </c>
      <c r="Q68" s="30"/>
    </row>
    <row r="69" spans="1:17" x14ac:dyDescent="0.35">
      <c r="A69" s="6">
        <v>44136</v>
      </c>
      <c r="B69" s="7">
        <v>56326000</v>
      </c>
      <c r="C69" s="17">
        <v>293610</v>
      </c>
      <c r="D69" s="18">
        <v>64590</v>
      </c>
      <c r="E69" s="10">
        <f>Table1[[#This Row],[MRI Brain Scans (NHS)]]/Table1[[#This Row],[MRI Scans (NHS)]]</f>
        <v>0.21998569531010523</v>
      </c>
      <c r="F69" s="7">
        <f>Table1[[#This Row],[MRI Brain Scans (NHS)]]*5.8%</f>
        <v>3746.22</v>
      </c>
      <c r="G69" s="7">
        <f>Table1[[#This Row],[MRI Brain Scans (NHS)]]+Table1[[#This Row],[Private Brain Scans]]</f>
        <v>68336.22</v>
      </c>
      <c r="H69" s="18">
        <v>4818.8738400000002</v>
      </c>
      <c r="I69" s="7">
        <v>13.403546584651819</v>
      </c>
      <c r="J69" s="11">
        <v>219827</v>
      </c>
      <c r="K69" s="11">
        <f>Table1[[#This Row],[Patient Waiting List (MRI)]]*Table1[[#This Row],[MRI Brain %]]</f>
        <v>48358.795442934505</v>
      </c>
      <c r="L69" s="11">
        <v>41412</v>
      </c>
      <c r="M69" s="7">
        <f>Table1[[#This Row],[MRI 6+ Week Waiter]]*Table1[[#This Row],[MRI Brain %]]</f>
        <v>9110.0476141820782</v>
      </c>
      <c r="N69" s="12">
        <f>Table1[[#This Row],[Brain 6+ Week Waiters]]/Table1[[#This Row],[Brain Patients Waiting List]]</f>
        <v>0.18838450235867296</v>
      </c>
      <c r="O69" s="16">
        <v>440283</v>
      </c>
      <c r="P69" s="14">
        <v>21.56</v>
      </c>
      <c r="Q69" s="30"/>
    </row>
    <row r="70" spans="1:17" x14ac:dyDescent="0.35">
      <c r="A70" s="6">
        <v>44166</v>
      </c>
      <c r="B70" s="7">
        <v>56326000</v>
      </c>
      <c r="C70" s="17">
        <v>276845</v>
      </c>
      <c r="D70" s="18">
        <v>60870</v>
      </c>
      <c r="E70" s="10">
        <f>Table1[[#This Row],[MRI Brain Scans (NHS)]]/Table1[[#This Row],[MRI Scans (NHS)]]</f>
        <v>0.21987032454983835</v>
      </c>
      <c r="F70" s="7">
        <f>Table1[[#This Row],[MRI Brain Scans (NHS)]]*5.8%</f>
        <v>3530.4599999999996</v>
      </c>
      <c r="G70" s="7">
        <f>Table1[[#This Row],[MRI Brain Scans (NHS)]]+Table1[[#This Row],[Private Brain Scans]]</f>
        <v>64400.46</v>
      </c>
      <c r="H70" s="18">
        <v>4811.7501700000003</v>
      </c>
      <c r="I70" s="7">
        <v>12.650282714075322</v>
      </c>
      <c r="J70" s="11">
        <v>212906</v>
      </c>
      <c r="K70" s="11">
        <f>Table1[[#This Row],[Patient Waiting List (MRI)]]*Table1[[#This Row],[MRI Brain %]]</f>
        <v>46811.711318607886</v>
      </c>
      <c r="L70" s="11">
        <v>45571</v>
      </c>
      <c r="M70" s="7">
        <f>Table1[[#This Row],[MRI 6+ Week Waiter]]*Table1[[#This Row],[MRI Brain %]]</f>
        <v>10019.710560060683</v>
      </c>
      <c r="N70" s="12">
        <f>Table1[[#This Row],[Brain 6+ Week Waiters]]/Table1[[#This Row],[Brain Patients Waiting List]]</f>
        <v>0.21404281701783884</v>
      </c>
      <c r="O70" s="16">
        <v>438361</v>
      </c>
      <c r="P70" s="14">
        <v>21.56</v>
      </c>
      <c r="Q70" s="30"/>
    </row>
    <row r="71" spans="1:17" x14ac:dyDescent="0.35">
      <c r="A71" s="6">
        <v>44197</v>
      </c>
      <c r="B71" s="7">
        <v>56554900</v>
      </c>
      <c r="C71" s="17">
        <v>279020</v>
      </c>
      <c r="D71" s="18">
        <v>61395</v>
      </c>
      <c r="E71" s="10">
        <f>Table1[[#This Row],[MRI Brain Scans (NHS)]]/Table1[[#This Row],[MRI Scans (NHS)]]</f>
        <v>0.22003799010823596</v>
      </c>
      <c r="F71" s="7">
        <f>Table1[[#This Row],[MRI Brain Scans (NHS)]]*5.8%</f>
        <v>3560.91</v>
      </c>
      <c r="G71" s="7">
        <f>Table1[[#This Row],[MRI Brain Scans (NHS)]]+Table1[[#This Row],[Private Brain Scans]]</f>
        <v>64955.91</v>
      </c>
      <c r="H71" s="18">
        <v>4819.2857700000004</v>
      </c>
      <c r="I71" s="7">
        <v>12.739439603723685</v>
      </c>
      <c r="J71" s="11">
        <v>198135</v>
      </c>
      <c r="K71" s="11">
        <f>Table1[[#This Row],[Patient Waiting List (MRI)]]*Table1[[#This Row],[MRI Brain %]]</f>
        <v>43597.227170095335</v>
      </c>
      <c r="L71" s="11">
        <v>51211</v>
      </c>
      <c r="M71" s="7">
        <f>Table1[[#This Row],[MRI 6+ Week Waiter]]*Table1[[#This Row],[MRI Brain %]]</f>
        <v>11268.365511432872</v>
      </c>
      <c r="N71" s="12">
        <f>Table1[[#This Row],[Brain 6+ Week Waiters]]/Table1[[#This Row],[Brain Patients Waiting List]]</f>
        <v>0.25846518787695255</v>
      </c>
      <c r="O71" s="16">
        <v>429858</v>
      </c>
      <c r="P71" s="14">
        <v>21.56</v>
      </c>
      <c r="Q71" s="30"/>
    </row>
    <row r="72" spans="1:17" x14ac:dyDescent="0.35">
      <c r="A72" s="6">
        <v>44228</v>
      </c>
      <c r="B72" s="7">
        <v>56554900</v>
      </c>
      <c r="C72" s="17">
        <v>275510</v>
      </c>
      <c r="D72" s="18">
        <v>62235</v>
      </c>
      <c r="E72" s="10">
        <f>Table1[[#This Row],[MRI Brain Scans (NHS)]]/Table1[[#This Row],[MRI Scans (NHS)]]</f>
        <v>0.22589016732604988</v>
      </c>
      <c r="F72" s="7">
        <f>Table1[[#This Row],[MRI Brain Scans (NHS)]]*5.8%</f>
        <v>3609.6299999999997</v>
      </c>
      <c r="G72" s="7">
        <f>Table1[[#This Row],[MRI Brain Scans (NHS)]]+Table1[[#This Row],[Private Brain Scans]]</f>
        <v>65844.63</v>
      </c>
      <c r="H72" s="18">
        <v>4814.1441599999998</v>
      </c>
      <c r="I72" s="7">
        <v>12.927531443096628</v>
      </c>
      <c r="J72" s="11">
        <v>199020</v>
      </c>
      <c r="K72" s="11">
        <f>Table1[[#This Row],[Patient Waiting List (MRI)]]*Table1[[#This Row],[MRI Brain %]]</f>
        <v>44956.661101230449</v>
      </c>
      <c r="L72" s="11">
        <v>40005</v>
      </c>
      <c r="M72" s="7">
        <f>Table1[[#This Row],[MRI 6+ Week Waiter]]*Table1[[#This Row],[MRI Brain %]]</f>
        <v>9036.7361438786247</v>
      </c>
      <c r="N72" s="12">
        <f>Table1[[#This Row],[Brain 6+ Week Waiters]]/Table1[[#This Row],[Brain Patients Waiting List]]</f>
        <v>0.20100994874886943</v>
      </c>
      <c r="O72" s="16">
        <v>427021</v>
      </c>
      <c r="P72" s="14">
        <v>21.56</v>
      </c>
      <c r="Q72" s="30"/>
    </row>
    <row r="73" spans="1:17" x14ac:dyDescent="0.35">
      <c r="A73" s="6">
        <v>44256</v>
      </c>
      <c r="B73" s="7">
        <v>56554900</v>
      </c>
      <c r="C73" s="17">
        <v>316410</v>
      </c>
      <c r="D73" s="18">
        <v>72070</v>
      </c>
      <c r="E73" s="10">
        <f>Table1[[#This Row],[MRI Brain Scans (NHS)]]/Table1[[#This Row],[MRI Scans (NHS)]]</f>
        <v>0.22777409057867956</v>
      </c>
      <c r="F73" s="7">
        <f>Table1[[#This Row],[MRI Brain Scans (NHS)]]*5.8%</f>
        <v>4180.0599999999995</v>
      </c>
      <c r="G73" s="7">
        <f>Table1[[#This Row],[MRI Brain Scans (NHS)]]+Table1[[#This Row],[Private Brain Scans]]</f>
        <v>76250.06</v>
      </c>
      <c r="H73" s="18">
        <v>4816.5206799999996</v>
      </c>
      <c r="I73" s="7">
        <v>14.963083268646946</v>
      </c>
      <c r="J73" s="11">
        <v>224841</v>
      </c>
      <c r="K73" s="11">
        <f>Table1[[#This Row],[Patient Waiting List (MRI)]]*Table1[[#This Row],[MRI Brain %]]</f>
        <v>51212.954299800891</v>
      </c>
      <c r="L73" s="11">
        <v>38185</v>
      </c>
      <c r="M73" s="7">
        <f>Table1[[#This Row],[MRI 6+ Week Waiter]]*Table1[[#This Row],[MRI Brain %]]</f>
        <v>8697.5536487468798</v>
      </c>
      <c r="N73" s="12">
        <f>Table1[[#This Row],[Brain 6+ Week Waiters]]/Table1[[#This Row],[Brain Patients Waiting List]]</f>
        <v>0.16983112510618617</v>
      </c>
      <c r="O73" s="16">
        <v>430758</v>
      </c>
      <c r="P73" s="14">
        <v>21.56</v>
      </c>
      <c r="Q73" s="30"/>
    </row>
    <row r="74" spans="1:17" x14ac:dyDescent="0.35">
      <c r="A74" s="6">
        <v>44287</v>
      </c>
      <c r="B74" s="7">
        <v>56554900</v>
      </c>
      <c r="C74" s="17">
        <v>298130</v>
      </c>
      <c r="D74" s="18">
        <v>68110</v>
      </c>
      <c r="E74" s="10">
        <f>Table1[[#This Row],[MRI Brain Scans (NHS)]]/Table1[[#This Row],[MRI Scans (NHS)]]</f>
        <v>0.22845738436252641</v>
      </c>
      <c r="F74" s="7">
        <f>Table1[[#This Row],[MRI Brain Scans (NHS)]]*5.8%</f>
        <v>3950.3799999999997</v>
      </c>
      <c r="G74" s="7">
        <f>Table1[[#This Row],[MRI Brain Scans (NHS)]]+Table1[[#This Row],[Private Brain Scans]]</f>
        <v>72060.38</v>
      </c>
      <c r="H74" s="18">
        <v>4818.5837799999999</v>
      </c>
      <c r="I74" s="7">
        <v>14.134858520608725</v>
      </c>
      <c r="J74" s="11">
        <v>239490</v>
      </c>
      <c r="K74" s="11">
        <f>Table1[[#This Row],[Patient Waiting List (MRI)]]*Table1[[#This Row],[MRI Brain %]]</f>
        <v>54713.258980981453</v>
      </c>
      <c r="L74" s="11">
        <v>42130</v>
      </c>
      <c r="M74" s="7">
        <f>Table1[[#This Row],[MRI 6+ Week Waiter]]*Table1[[#This Row],[MRI Brain %]]</f>
        <v>9624.9096031932386</v>
      </c>
      <c r="N74" s="12">
        <f>Table1[[#This Row],[Brain 6+ Week Waiters]]/Table1[[#This Row],[Brain Patients Waiting List]]</f>
        <v>0.17591548707670468</v>
      </c>
      <c r="O74" s="16">
        <v>432129</v>
      </c>
      <c r="P74" s="14">
        <v>21.86</v>
      </c>
      <c r="Q74" s="30"/>
    </row>
    <row r="75" spans="1:17" x14ac:dyDescent="0.35">
      <c r="A75" s="6">
        <v>44317</v>
      </c>
      <c r="B75" s="7">
        <v>56554900</v>
      </c>
      <c r="C75" s="17">
        <v>311840</v>
      </c>
      <c r="D75" s="18">
        <v>69515</v>
      </c>
      <c r="E75" s="10">
        <f>Table1[[#This Row],[MRI Brain Scans (NHS)]]/Table1[[#This Row],[MRI Scans (NHS)]]</f>
        <v>0.22291880451513596</v>
      </c>
      <c r="F75" s="7">
        <f>Table1[[#This Row],[MRI Brain Scans (NHS)]]*5.8%</f>
        <v>4031.87</v>
      </c>
      <c r="G75" s="7">
        <f>Table1[[#This Row],[MRI Brain Scans (NHS)]]+Table1[[#This Row],[Private Brain Scans]]</f>
        <v>73546.87</v>
      </c>
      <c r="H75" s="18">
        <v>4805.9615299999996</v>
      </c>
      <c r="I75" s="7">
        <v>14.464327183243185</v>
      </c>
      <c r="J75" s="11">
        <v>255641</v>
      </c>
      <c r="K75" s="11">
        <f>Table1[[#This Row],[Patient Waiting List (MRI)]]*Table1[[#This Row],[MRI Brain %]]</f>
        <v>56987.186105053872</v>
      </c>
      <c r="L75" s="11">
        <v>43081</v>
      </c>
      <c r="M75" s="7">
        <f>Table1[[#This Row],[MRI 6+ Week Waiter]]*Table1[[#This Row],[MRI Brain %]]</f>
        <v>9603.5650173165723</v>
      </c>
      <c r="N75" s="12">
        <f>Table1[[#This Row],[Brain 6+ Week Waiters]]/Table1[[#This Row],[Brain Patients Waiting List]]</f>
        <v>0.16852148129603625</v>
      </c>
      <c r="O75" s="16">
        <v>434307</v>
      </c>
      <c r="P75" s="14">
        <v>21.86</v>
      </c>
      <c r="Q75" s="30"/>
    </row>
    <row r="76" spans="1:17" x14ac:dyDescent="0.35">
      <c r="A76" s="6">
        <v>44348</v>
      </c>
      <c r="B76" s="7">
        <v>56554900</v>
      </c>
      <c r="C76" s="17">
        <v>322065</v>
      </c>
      <c r="D76" s="18">
        <v>70735</v>
      </c>
      <c r="E76" s="10">
        <f>Table1[[#This Row],[MRI Brain Scans (NHS)]]/Table1[[#This Row],[MRI Scans (NHS)]]</f>
        <v>0.21962957788024157</v>
      </c>
      <c r="F76" s="7">
        <f>Table1[[#This Row],[MRI Brain Scans (NHS)]]*5.8%</f>
        <v>4102.63</v>
      </c>
      <c r="G76" s="7">
        <f>Table1[[#This Row],[MRI Brain Scans (NHS)]]+Table1[[#This Row],[Private Brain Scans]]</f>
        <v>74837.63</v>
      </c>
      <c r="H76" s="18">
        <v>4797.0649800000001</v>
      </c>
      <c r="I76" s="7">
        <v>14.745474638119244</v>
      </c>
      <c r="J76" s="11">
        <v>275436</v>
      </c>
      <c r="K76" s="11">
        <f>Table1[[#This Row],[Patient Waiting List (MRI)]]*Table1[[#This Row],[MRI Brain %]]</f>
        <v>60493.892413022215</v>
      </c>
      <c r="L76" s="11">
        <v>50431</v>
      </c>
      <c r="M76" s="7">
        <f>Table1[[#This Row],[MRI 6+ Week Waiter]]*Table1[[#This Row],[MRI Brain %]]</f>
        <v>11076.139242078463</v>
      </c>
      <c r="N76" s="12">
        <f>Table1[[#This Row],[Brain 6+ Week Waiters]]/Table1[[#This Row],[Brain Patients Waiting List]]</f>
        <v>0.18309516548308866</v>
      </c>
      <c r="O76" s="16">
        <v>436597</v>
      </c>
      <c r="P76" s="14">
        <v>21.86</v>
      </c>
      <c r="Q76" s="30"/>
    </row>
    <row r="77" spans="1:17" x14ac:dyDescent="0.35">
      <c r="A77" s="6">
        <v>44378</v>
      </c>
      <c r="B77" s="7">
        <v>56554900</v>
      </c>
      <c r="C77" s="17">
        <v>322705</v>
      </c>
      <c r="D77" s="18">
        <v>70260</v>
      </c>
      <c r="E77" s="10">
        <f>Table1[[#This Row],[MRI Brain Scans (NHS)]]/Table1[[#This Row],[MRI Scans (NHS)]]</f>
        <v>0.21772206814273098</v>
      </c>
      <c r="F77" s="7">
        <f>Table1[[#This Row],[MRI Brain Scans (NHS)]]*5.8%</f>
        <v>4075.08</v>
      </c>
      <c r="G77" s="7">
        <f>Table1[[#This Row],[MRI Brain Scans (NHS)]]+Table1[[#This Row],[Private Brain Scans]]</f>
        <v>74335.08</v>
      </c>
      <c r="H77" s="18">
        <v>4770.00684</v>
      </c>
      <c r="I77" s="7">
        <v>14.729538626825114</v>
      </c>
      <c r="J77" s="11">
        <v>277491</v>
      </c>
      <c r="K77" s="11">
        <f>Table1[[#This Row],[Patient Waiting List (MRI)]]*Table1[[#This Row],[MRI Brain %]]</f>
        <v>60415.914410994563</v>
      </c>
      <c r="L77" s="11">
        <v>58341</v>
      </c>
      <c r="M77" s="7">
        <f>Table1[[#This Row],[MRI 6+ Week Waiter]]*Table1[[#This Row],[MRI Brain %]]</f>
        <v>12702.123177515068</v>
      </c>
      <c r="N77" s="12">
        <f>Table1[[#This Row],[Brain 6+ Week Waiters]]/Table1[[#This Row],[Brain Patients Waiting List]]</f>
        <v>0.21024465658345676</v>
      </c>
      <c r="O77" s="16">
        <v>438783</v>
      </c>
      <c r="P77" s="14">
        <v>21.86</v>
      </c>
      <c r="Q77" s="30"/>
    </row>
    <row r="78" spans="1:17" x14ac:dyDescent="0.35">
      <c r="A78" s="6">
        <v>44409</v>
      </c>
      <c r="B78" s="7">
        <v>56554900</v>
      </c>
      <c r="C78" s="17">
        <v>313800</v>
      </c>
      <c r="D78" s="18">
        <v>67600</v>
      </c>
      <c r="E78" s="10">
        <f>Table1[[#This Row],[MRI Brain Scans (NHS)]]/Table1[[#This Row],[MRI Scans (NHS)]]</f>
        <v>0.2154238368387508</v>
      </c>
      <c r="F78" s="7">
        <f>Table1[[#This Row],[MRI Brain Scans (NHS)]]*5.8%</f>
        <v>3920.7999999999997</v>
      </c>
      <c r="G78" s="7">
        <f>Table1[[#This Row],[MRI Brain Scans (NHS)]]+Table1[[#This Row],[Private Brain Scans]]</f>
        <v>71520.800000000003</v>
      </c>
      <c r="H78" s="18">
        <v>4921.02844</v>
      </c>
      <c r="I78" s="7">
        <v>13.736965925764899</v>
      </c>
      <c r="J78" s="11">
        <v>265858</v>
      </c>
      <c r="K78" s="11">
        <f>Table1[[#This Row],[Patient Waiting List (MRI)]]*Table1[[#This Row],[MRI Brain %]]</f>
        <v>57272.150414276606</v>
      </c>
      <c r="L78" s="11">
        <v>64685</v>
      </c>
      <c r="M78" s="7">
        <f>Table1[[#This Row],[MRI 6+ Week Waiter]]*Table1[[#This Row],[MRI Brain %]]</f>
        <v>13934.690885914595</v>
      </c>
      <c r="N78" s="12">
        <f>Table1[[#This Row],[Brain 6+ Week Waiters]]/Table1[[#This Row],[Brain Patients Waiting List]]</f>
        <v>0.2433065771953449</v>
      </c>
      <c r="O78" s="16">
        <v>439508</v>
      </c>
      <c r="P78" s="14">
        <v>21.86</v>
      </c>
      <c r="Q78" s="30"/>
    </row>
    <row r="79" spans="1:17" x14ac:dyDescent="0.35">
      <c r="A79" s="6">
        <v>44440</v>
      </c>
      <c r="B79" s="7">
        <v>56554900</v>
      </c>
      <c r="C79" s="17">
        <v>318405</v>
      </c>
      <c r="D79" s="18">
        <v>68965</v>
      </c>
      <c r="E79" s="10">
        <f>Table1[[#This Row],[MRI Brain Scans (NHS)]]/Table1[[#This Row],[MRI Scans (NHS)]]</f>
        <v>0.21659521678365604</v>
      </c>
      <c r="F79" s="7">
        <f>Table1[[#This Row],[MRI Brain Scans (NHS)]]*5.8%</f>
        <v>3999.97</v>
      </c>
      <c r="G79" s="7">
        <f>Table1[[#This Row],[MRI Brain Scans (NHS)]]+Table1[[#This Row],[Private Brain Scans]]</f>
        <v>72964.97</v>
      </c>
      <c r="H79" s="18">
        <v>5051.8702899999998</v>
      </c>
      <c r="I79" s="7">
        <v>13.651379794234582</v>
      </c>
      <c r="J79" s="11">
        <v>281275</v>
      </c>
      <c r="K79" s="11">
        <f>Table1[[#This Row],[Patient Waiting List (MRI)]]*Table1[[#This Row],[MRI Brain %]]</f>
        <v>60922.819600822855</v>
      </c>
      <c r="L79" s="11">
        <v>64395</v>
      </c>
      <c r="M79" s="7">
        <f>Table1[[#This Row],[MRI 6+ Week Waiter]]*Table1[[#This Row],[MRI Brain %]]</f>
        <v>13947.648984783531</v>
      </c>
      <c r="N79" s="12">
        <f>Table1[[#This Row],[Brain 6+ Week Waiters]]/Table1[[#This Row],[Brain Patients Waiting List]]</f>
        <v>0.22893964980890588</v>
      </c>
      <c r="O79" s="16">
        <v>439889</v>
      </c>
      <c r="P79" s="14">
        <v>21.86</v>
      </c>
      <c r="Q79" s="30"/>
    </row>
    <row r="80" spans="1:17" x14ac:dyDescent="0.35">
      <c r="A80" s="6">
        <v>44470</v>
      </c>
      <c r="B80" s="7">
        <v>56554900</v>
      </c>
      <c r="C80" s="17">
        <v>330650</v>
      </c>
      <c r="D80" s="18">
        <v>71145</v>
      </c>
      <c r="E80" s="10">
        <f>Table1[[#This Row],[MRI Brain Scans (NHS)]]/Table1[[#This Row],[MRI Scans (NHS)]]</f>
        <v>0.21516709511568125</v>
      </c>
      <c r="F80" s="7">
        <f>Table1[[#This Row],[MRI Brain Scans (NHS)]]*5.8%</f>
        <v>4126.41</v>
      </c>
      <c r="G80" s="7">
        <f>Table1[[#This Row],[MRI Brain Scans (NHS)]]+Table1[[#This Row],[Private Brain Scans]]</f>
        <v>75271.41</v>
      </c>
      <c r="H80" s="18">
        <v>5029.0397899999998</v>
      </c>
      <c r="I80" s="7">
        <v>14.146835772003307</v>
      </c>
      <c r="J80" s="11">
        <v>279234</v>
      </c>
      <c r="K80" s="11">
        <f>Table1[[#This Row],[Patient Waiting List (MRI)]]*Table1[[#This Row],[MRI Brain %]]</f>
        <v>60081.96863753214</v>
      </c>
      <c r="L80" s="11">
        <v>63461</v>
      </c>
      <c r="M80" s="7">
        <f>Table1[[#This Row],[MRI 6+ Week Waiter]]*Table1[[#This Row],[MRI Brain %]]</f>
        <v>13654.719023136247</v>
      </c>
      <c r="N80" s="12">
        <f>Table1[[#This Row],[Brain 6+ Week Waiters]]/Table1[[#This Row],[Brain Patients Waiting List]]</f>
        <v>0.22726816934900476</v>
      </c>
      <c r="O80" s="16">
        <v>440037</v>
      </c>
      <c r="P80" s="14">
        <v>21.86</v>
      </c>
      <c r="Q80" s="30"/>
    </row>
    <row r="81" spans="1:17" x14ac:dyDescent="0.35">
      <c r="A81" s="6">
        <v>44501</v>
      </c>
      <c r="B81" s="7">
        <v>56554900</v>
      </c>
      <c r="C81" s="17">
        <v>329490</v>
      </c>
      <c r="D81" s="18">
        <v>71115</v>
      </c>
      <c r="E81" s="10">
        <f>Table1[[#This Row],[MRI Brain Scans (NHS)]]/Table1[[#This Row],[MRI Scans (NHS)]]</f>
        <v>0.21583356095784395</v>
      </c>
      <c r="F81" s="7">
        <f>Table1[[#This Row],[MRI Brain Scans (NHS)]]*5.8%</f>
        <v>4124.67</v>
      </c>
      <c r="G81" s="7">
        <f>Table1[[#This Row],[MRI Brain Scans (NHS)]]+Table1[[#This Row],[Private Brain Scans]]</f>
        <v>75239.67</v>
      </c>
      <c r="H81" s="18">
        <v>5039.10664</v>
      </c>
      <c r="I81" s="7">
        <v>14.112620565616766</v>
      </c>
      <c r="J81" s="11">
        <v>295358</v>
      </c>
      <c r="K81" s="11">
        <f>Table1[[#This Row],[Patient Waiting List (MRI)]]*Table1[[#This Row],[MRI Brain %]]</f>
        <v>63748.168897386873</v>
      </c>
      <c r="L81" s="11">
        <v>67452</v>
      </c>
      <c r="M81" s="7">
        <f>Table1[[#This Row],[MRI 6+ Week Waiter]]*Table1[[#This Row],[MRI Brain %]]</f>
        <v>14558.405353728491</v>
      </c>
      <c r="N81" s="12">
        <f>Table1[[#This Row],[Brain 6+ Week Waiters]]/Table1[[#This Row],[Brain Patients Waiting List]]</f>
        <v>0.22837370242214533</v>
      </c>
      <c r="O81" s="16">
        <v>441156</v>
      </c>
      <c r="P81" s="14">
        <v>21.86</v>
      </c>
      <c r="Q81" s="30"/>
    </row>
    <row r="82" spans="1:17" x14ac:dyDescent="0.35">
      <c r="A82" s="6">
        <v>44531</v>
      </c>
      <c r="B82" s="7">
        <v>56554900</v>
      </c>
      <c r="C82" s="17">
        <v>303555</v>
      </c>
      <c r="D82" s="18">
        <v>65850</v>
      </c>
      <c r="E82" s="10">
        <f>Table1[[#This Row],[MRI Brain Scans (NHS)]]/Table1[[#This Row],[MRI Scans (NHS)]]</f>
        <v>0.21692938676681325</v>
      </c>
      <c r="F82" s="7">
        <f>Table1[[#This Row],[MRI Brain Scans (NHS)]]*5.8%</f>
        <v>3819.2999999999997</v>
      </c>
      <c r="G82" s="7">
        <f>Table1[[#This Row],[MRI Brain Scans (NHS)]]+Table1[[#This Row],[Private Brain Scans]]</f>
        <v>69669.3</v>
      </c>
      <c r="H82" s="18">
        <v>5045.14894</v>
      </c>
      <c r="I82" s="7">
        <v>13.05214192546712</v>
      </c>
      <c r="J82" s="11">
        <v>282596</v>
      </c>
      <c r="K82" s="11">
        <f>Table1[[#This Row],[Patient Waiting List (MRI)]]*Table1[[#This Row],[MRI Brain %]]</f>
        <v>61303.376982754358</v>
      </c>
      <c r="L82" s="11">
        <v>77055</v>
      </c>
      <c r="M82" s="7">
        <f>Table1[[#This Row],[MRI 6+ Week Waiter]]*Table1[[#This Row],[MRI Brain %]]</f>
        <v>16715.493897316795</v>
      </c>
      <c r="N82" s="12">
        <f>Table1[[#This Row],[Brain 6+ Week Waiters]]/Table1[[#This Row],[Brain Patients Waiting List]]</f>
        <v>0.27266840294979405</v>
      </c>
      <c r="O82" s="16">
        <v>440419</v>
      </c>
      <c r="P82" s="14">
        <v>21.86</v>
      </c>
      <c r="Q82" s="30"/>
    </row>
    <row r="83" spans="1:17" x14ac:dyDescent="0.35">
      <c r="A83" s="6">
        <v>44562</v>
      </c>
      <c r="B83" s="7">
        <v>57112500</v>
      </c>
      <c r="C83" s="17">
        <v>327790</v>
      </c>
      <c r="D83" s="18">
        <v>71640</v>
      </c>
      <c r="E83" s="10">
        <f>Table1[[#This Row],[MRI Brain Scans (NHS)]]/Table1[[#This Row],[MRI Scans (NHS)]]</f>
        <v>0.21855456237225052</v>
      </c>
      <c r="F83" s="7">
        <f>Table1[[#This Row],[MRI Brain Scans (NHS)]]*5.8%</f>
        <v>4155.12</v>
      </c>
      <c r="G83" s="7">
        <f>Table1[[#This Row],[MRI Brain Scans (NHS)]]+Table1[[#This Row],[Private Brain Scans]]</f>
        <v>75795.12</v>
      </c>
      <c r="H83" s="18">
        <v>5068.6137899999994</v>
      </c>
      <c r="I83" s="7">
        <v>14.134041962585595</v>
      </c>
      <c r="J83" s="11">
        <v>280127</v>
      </c>
      <c r="K83" s="11">
        <f>Table1[[#This Row],[Patient Waiting List (MRI)]]*Table1[[#This Row],[MRI Brain %]]</f>
        <v>61223.033893651424</v>
      </c>
      <c r="L83" s="11">
        <v>80334</v>
      </c>
      <c r="M83" s="7">
        <f>Table1[[#This Row],[MRI 6+ Week Waiter]]*Table1[[#This Row],[MRI Brain %]]</f>
        <v>17557.362213612374</v>
      </c>
      <c r="N83" s="12">
        <f>Table1[[#This Row],[Brain 6+ Week Waiters]]/Table1[[#This Row],[Brain Patients Waiting List]]</f>
        <v>0.28677706897228755</v>
      </c>
      <c r="O83" s="16">
        <v>439056</v>
      </c>
      <c r="P83" s="14">
        <v>21.86</v>
      </c>
      <c r="Q83" s="30"/>
    </row>
    <row r="84" spans="1:17" x14ac:dyDescent="0.35">
      <c r="A84" s="6">
        <v>44593</v>
      </c>
      <c r="B84" s="7">
        <v>57112500</v>
      </c>
      <c r="C84" s="17">
        <v>315755</v>
      </c>
      <c r="D84" s="18">
        <v>68860</v>
      </c>
      <c r="E84" s="10">
        <f>Table1[[#This Row],[MRI Brain Scans (NHS)]]/Table1[[#This Row],[MRI Scans (NHS)]]</f>
        <v>0.21808047378505488</v>
      </c>
      <c r="F84" s="7">
        <f>Table1[[#This Row],[MRI Brain Scans (NHS)]]*5.8%</f>
        <v>3993.8799999999997</v>
      </c>
      <c r="G84" s="7">
        <f>Table1[[#This Row],[MRI Brain Scans (NHS)]]+Table1[[#This Row],[Private Brain Scans]]</f>
        <v>72853.88</v>
      </c>
      <c r="H84" s="18">
        <v>5064.0752899999998</v>
      </c>
      <c r="I84" s="7">
        <v>13.597744120427562</v>
      </c>
      <c r="J84" s="11">
        <v>289995</v>
      </c>
      <c r="K84" s="11">
        <f>Table1[[#This Row],[Patient Waiting List (MRI)]]*Table1[[#This Row],[MRI Brain %]]</f>
        <v>63242.246995296991</v>
      </c>
      <c r="L84" s="11">
        <v>64250</v>
      </c>
      <c r="M84" s="7">
        <f>Table1[[#This Row],[MRI 6+ Week Waiter]]*Table1[[#This Row],[MRI Brain %]]</f>
        <v>14011.670440689775</v>
      </c>
      <c r="N84" s="12">
        <f>Table1[[#This Row],[Brain 6+ Week Waiters]]/Table1[[#This Row],[Brain Patients Waiting List]]</f>
        <v>0.22155554406110448</v>
      </c>
      <c r="O84" s="16">
        <v>440984</v>
      </c>
      <c r="P84" s="14">
        <v>21.86</v>
      </c>
      <c r="Q84" s="30"/>
    </row>
    <row r="85" spans="1:17" x14ac:dyDescent="0.35">
      <c r="A85" s="6">
        <v>44621</v>
      </c>
      <c r="B85" s="7">
        <v>57112500</v>
      </c>
      <c r="C85" s="17">
        <v>350970</v>
      </c>
      <c r="D85" s="18">
        <v>73605</v>
      </c>
      <c r="E85" s="10">
        <f>Table1[[#This Row],[MRI Brain Scans (NHS)]]/Table1[[#This Row],[MRI Scans (NHS)]]</f>
        <v>0.20971877938285324</v>
      </c>
      <c r="F85" s="7">
        <f>Table1[[#This Row],[MRI Brain Scans (NHS)]]*5.8%</f>
        <v>4269.09</v>
      </c>
      <c r="G85" s="7">
        <f>Table1[[#This Row],[MRI Brain Scans (NHS)]]+Table1[[#This Row],[Private Brain Scans]]</f>
        <v>77874.09</v>
      </c>
      <c r="H85" s="18">
        <v>5080.7748899999997</v>
      </c>
      <c r="I85" s="7">
        <v>14.486963424588961</v>
      </c>
      <c r="J85" s="11">
        <v>302825</v>
      </c>
      <c r="K85" s="11">
        <f>Table1[[#This Row],[Patient Waiting List (MRI)]]*Table1[[#This Row],[MRI Brain %]]</f>
        <v>63508.089366612534</v>
      </c>
      <c r="L85" s="11">
        <v>68709</v>
      </c>
      <c r="M85" s="7">
        <f>Table1[[#This Row],[MRI 6+ Week Waiter]]*Table1[[#This Row],[MRI Brain %]]</f>
        <v>14409.567612616464</v>
      </c>
      <c r="N85" s="12">
        <f>Table1[[#This Row],[Brain 6+ Week Waiters]]/Table1[[#This Row],[Brain Patients Waiting List]]</f>
        <v>0.22689342029224799</v>
      </c>
      <c r="O85" s="16">
        <v>443900</v>
      </c>
      <c r="P85" s="14">
        <v>21.86</v>
      </c>
      <c r="Q85" s="30"/>
    </row>
    <row r="86" spans="1:17" x14ac:dyDescent="0.35">
      <c r="A86" s="6">
        <v>44652</v>
      </c>
      <c r="B86" s="7">
        <v>57112500</v>
      </c>
      <c r="C86" s="17">
        <v>323780</v>
      </c>
      <c r="D86" s="18">
        <v>70485</v>
      </c>
      <c r="E86" s="10">
        <f>Table1[[#This Row],[MRI Brain Scans (NHS)]]/Table1[[#This Row],[MRI Scans (NHS)]]</f>
        <v>0.21769411328679969</v>
      </c>
      <c r="F86" s="7">
        <f>Table1[[#This Row],[MRI Brain Scans (NHS)]]*5.8%</f>
        <v>4088.1299999999997</v>
      </c>
      <c r="G86" s="7">
        <f>Table1[[#This Row],[MRI Brain Scans (NHS)]]+Table1[[#This Row],[Private Brain Scans]]</f>
        <v>74573.13</v>
      </c>
      <c r="H86" s="18">
        <v>5065.2215900000001</v>
      </c>
      <c r="I86" s="7">
        <v>13.915482027312452</v>
      </c>
      <c r="J86" s="11">
        <v>286345</v>
      </c>
      <c r="K86" s="11">
        <f>Table1[[#This Row],[Patient Waiting List (MRI)]]*Table1[[#This Row],[MRI Brain %]]</f>
        <v>62335.620869108658</v>
      </c>
      <c r="L86" s="11">
        <v>71910</v>
      </c>
      <c r="M86" s="7">
        <f>Table1[[#This Row],[MRI 6+ Week Waiter]]*Table1[[#This Row],[MRI Brain %]]</f>
        <v>15654.383686453766</v>
      </c>
      <c r="N86" s="12">
        <f>Table1[[#This Row],[Brain 6+ Week Waiters]]/Table1[[#This Row],[Brain Patients Waiting List]]</f>
        <v>0.25113062913618189</v>
      </c>
      <c r="O86" s="19">
        <v>398747</v>
      </c>
      <c r="P86" s="14">
        <v>22.17</v>
      </c>
      <c r="Q86" s="30"/>
    </row>
    <row r="87" spans="1:17" x14ac:dyDescent="0.35">
      <c r="A87" s="6">
        <v>44682</v>
      </c>
      <c r="B87" s="7">
        <v>57112500</v>
      </c>
      <c r="C87" s="17">
        <v>351200</v>
      </c>
      <c r="D87" s="18">
        <v>76045</v>
      </c>
      <c r="E87" s="10">
        <f>Table1[[#This Row],[MRI Brain Scans (NHS)]]/Table1[[#This Row],[MRI Scans (NHS)]]</f>
        <v>0.21652904328018224</v>
      </c>
      <c r="F87" s="7">
        <f>Table1[[#This Row],[MRI Brain Scans (NHS)]]*5.8%</f>
        <v>4410.6099999999997</v>
      </c>
      <c r="G87" s="7">
        <f>Table1[[#This Row],[MRI Brain Scans (NHS)]]+Table1[[#This Row],[Private Brain Scans]]</f>
        <v>80455.61</v>
      </c>
      <c r="H87" s="18">
        <v>5053.4296899999999</v>
      </c>
      <c r="I87" s="7">
        <v>15.048195911478091</v>
      </c>
      <c r="J87" s="11">
        <v>289888</v>
      </c>
      <c r="K87" s="11">
        <f>Table1[[#This Row],[Patient Waiting List (MRI)]]*Table1[[#This Row],[MRI Brain %]]</f>
        <v>62769.171298405468</v>
      </c>
      <c r="L87" s="11">
        <v>65892</v>
      </c>
      <c r="M87" s="7">
        <f>Table1[[#This Row],[MRI 6+ Week Waiter]]*Table1[[#This Row],[MRI Brain %]]</f>
        <v>14267.531719817769</v>
      </c>
      <c r="N87" s="12">
        <f>Table1[[#This Row],[Brain 6+ Week Waiters]]/Table1[[#This Row],[Brain Patients Waiting List]]</f>
        <v>0.22730157854067778</v>
      </c>
      <c r="O87" s="19">
        <v>410179</v>
      </c>
      <c r="P87" s="14">
        <v>22.17</v>
      </c>
      <c r="Q87" s="30"/>
    </row>
    <row r="88" spans="1:17" x14ac:dyDescent="0.35">
      <c r="A88" s="6">
        <v>44713</v>
      </c>
      <c r="B88" s="7">
        <v>57112500</v>
      </c>
      <c r="C88" s="17">
        <v>329020</v>
      </c>
      <c r="D88" s="18">
        <v>70935</v>
      </c>
      <c r="E88" s="10">
        <f>Table1[[#This Row],[MRI Brain Scans (NHS)]]/Table1[[#This Row],[MRI Scans (NHS)]]</f>
        <v>0.2155947966688955</v>
      </c>
      <c r="F88" s="7">
        <f>Table1[[#This Row],[MRI Brain Scans (NHS)]]*5.8%</f>
        <v>4114.2299999999996</v>
      </c>
      <c r="G88" s="7">
        <f>Table1[[#This Row],[MRI Brain Scans (NHS)]]+Table1[[#This Row],[Private Brain Scans]]</f>
        <v>75049.23</v>
      </c>
      <c r="H88" s="18">
        <v>5048.3401999999996</v>
      </c>
      <c r="I88" s="7">
        <v>14.051152891796002</v>
      </c>
      <c r="J88" s="11">
        <v>285479</v>
      </c>
      <c r="K88" s="11">
        <f>Table1[[#This Row],[Patient Waiting List (MRI)]]*Table1[[#This Row],[MRI Brain %]]</f>
        <v>61547.786958239616</v>
      </c>
      <c r="L88" s="11">
        <v>69238</v>
      </c>
      <c r="M88" s="7">
        <f>Table1[[#This Row],[MRI 6+ Week Waiter]]*Table1[[#This Row],[MRI Brain %]]</f>
        <v>14927.352531760987</v>
      </c>
      <c r="N88" s="12">
        <f>Table1[[#This Row],[Brain 6+ Week Waiters]]/Table1[[#This Row],[Brain Patients Waiting List]]</f>
        <v>0.24253272569961365</v>
      </c>
      <c r="O88" s="19">
        <v>414872</v>
      </c>
      <c r="P88" s="14">
        <v>22.17</v>
      </c>
      <c r="Q88" s="30"/>
    </row>
    <row r="89" spans="1:17" x14ac:dyDescent="0.35">
      <c r="A89" s="6">
        <v>44743</v>
      </c>
      <c r="B89" s="7">
        <v>57112500</v>
      </c>
      <c r="C89" s="17">
        <v>331905</v>
      </c>
      <c r="D89" s="18">
        <v>70530</v>
      </c>
      <c r="E89" s="10">
        <f>Table1[[#This Row],[MRI Brain Scans (NHS)]]/Table1[[#This Row],[MRI Scans (NHS)]]</f>
        <v>0.21250056492068514</v>
      </c>
      <c r="F89" s="7">
        <f>Table1[[#This Row],[MRI Brain Scans (NHS)]]*5.8%</f>
        <v>4090.74</v>
      </c>
      <c r="G89" s="7">
        <f>Table1[[#This Row],[MRI Brain Scans (NHS)]]+Table1[[#This Row],[Private Brain Scans]]</f>
        <v>74620.740000000005</v>
      </c>
      <c r="H89" s="18">
        <v>5039.6838900000002</v>
      </c>
      <c r="I89" s="7">
        <v>13.994925384099835</v>
      </c>
      <c r="J89" s="11">
        <v>276302</v>
      </c>
      <c r="K89" s="11">
        <f>Table1[[#This Row],[Patient Waiting List (MRI)]]*Table1[[#This Row],[MRI Brain %]]</f>
        <v>58714.331088715146</v>
      </c>
      <c r="L89" s="11">
        <v>69163</v>
      </c>
      <c r="M89" s="7">
        <f>Table1[[#This Row],[MRI 6+ Week Waiter]]*Table1[[#This Row],[MRI Brain %]]</f>
        <v>14697.176571609347</v>
      </c>
      <c r="N89" s="12">
        <f>Table1[[#This Row],[Brain 6+ Week Waiters]]/Table1[[#This Row],[Brain Patients Waiting List]]</f>
        <v>0.25031668247062999</v>
      </c>
      <c r="O89" s="19">
        <v>418183</v>
      </c>
      <c r="P89" s="14">
        <v>22.17</v>
      </c>
      <c r="Q89" s="30"/>
    </row>
    <row r="90" spans="1:17" x14ac:dyDescent="0.35">
      <c r="A90" s="6">
        <v>44774</v>
      </c>
      <c r="B90" s="7">
        <v>57112500</v>
      </c>
      <c r="C90" s="17">
        <v>328050</v>
      </c>
      <c r="D90" s="18">
        <v>70205</v>
      </c>
      <c r="E90" s="10">
        <f>Table1[[#This Row],[MRI Brain Scans (NHS)]]/Table1[[#This Row],[MRI Scans (NHS)]]</f>
        <v>0.2140070111263527</v>
      </c>
      <c r="F90" s="7">
        <f>Table1[[#This Row],[MRI Brain Scans (NHS)]]*5.8%</f>
        <v>4071.89</v>
      </c>
      <c r="G90" s="7">
        <f>Table1[[#This Row],[MRI Brain Scans (NHS)]]+Table1[[#This Row],[Private Brain Scans]]</f>
        <v>74276.89</v>
      </c>
      <c r="H90" s="18">
        <v>5192.7928499999998</v>
      </c>
      <c r="I90" s="7">
        <v>13.519699712265627</v>
      </c>
      <c r="J90" s="11">
        <v>270583</v>
      </c>
      <c r="K90" s="11">
        <f>Table1[[#This Row],[Patient Waiting List (MRI)]]*Table1[[#This Row],[MRI Brain %]]</f>
        <v>57906.65909160189</v>
      </c>
      <c r="L90" s="11">
        <v>71163</v>
      </c>
      <c r="M90" s="7">
        <f>Table1[[#This Row],[MRI 6+ Week Waiter]]*Table1[[#This Row],[MRI Brain %]]</f>
        <v>15229.380932784637</v>
      </c>
      <c r="N90" s="12">
        <f>Table1[[#This Row],[Brain 6+ Week Waiters]]/Table1[[#This Row],[Brain Patients Waiting List]]</f>
        <v>0.26299878410690991</v>
      </c>
      <c r="O90" s="19">
        <v>421700</v>
      </c>
      <c r="P90" s="14">
        <v>22.17</v>
      </c>
      <c r="Q90" s="30"/>
    </row>
    <row r="91" spans="1:17" x14ac:dyDescent="0.35">
      <c r="A91" s="6">
        <v>44805</v>
      </c>
      <c r="B91" s="7">
        <v>57112500</v>
      </c>
      <c r="C91" s="17">
        <v>336215</v>
      </c>
      <c r="D91" s="18">
        <v>72880</v>
      </c>
      <c r="E91" s="10">
        <f>Table1[[#This Row],[MRI Brain Scans (NHS)]]/Table1[[#This Row],[MRI Scans (NHS)]]</f>
        <v>0.21676605743348751</v>
      </c>
      <c r="F91" s="7">
        <f>Table1[[#This Row],[MRI Brain Scans (NHS)]]*5.8%</f>
        <v>4227.04</v>
      </c>
      <c r="G91" s="7">
        <f>Table1[[#This Row],[MRI Brain Scans (NHS)]]+Table1[[#This Row],[Private Brain Scans]]</f>
        <v>77107.039999999994</v>
      </c>
      <c r="H91" s="18">
        <v>5325.6603500000001</v>
      </c>
      <c r="I91" s="7">
        <v>13.684687946725704</v>
      </c>
      <c r="J91" s="11">
        <v>282783</v>
      </c>
      <c r="K91" s="11">
        <f>Table1[[#This Row],[Patient Waiting List (MRI)]]*Table1[[#This Row],[MRI Brain %]]</f>
        <v>61297.756019213899</v>
      </c>
      <c r="L91" s="11">
        <v>68273</v>
      </c>
      <c r="M91" s="7">
        <f>Table1[[#This Row],[MRI 6+ Week Waiter]]*Table1[[#This Row],[MRI Brain %]]</f>
        <v>14799.269039156492</v>
      </c>
      <c r="N91" s="12">
        <f>Table1[[#This Row],[Brain 6+ Week Waiters]]/Table1[[#This Row],[Brain Patients Waiting List]]</f>
        <v>0.24143247649257557</v>
      </c>
      <c r="O91" s="19">
        <v>423421</v>
      </c>
      <c r="P91" s="14">
        <v>22.17</v>
      </c>
      <c r="Q91" s="30"/>
    </row>
    <row r="92" spans="1:17" x14ac:dyDescent="0.35">
      <c r="A92" s="6">
        <v>44835</v>
      </c>
      <c r="B92" s="7">
        <v>57112500</v>
      </c>
      <c r="C92" s="17">
        <v>340720</v>
      </c>
      <c r="D92" s="18">
        <v>71950</v>
      </c>
      <c r="E92" s="10">
        <f>Table1[[#This Row],[MRI Brain Scans (NHS)]]/Table1[[#This Row],[MRI Scans (NHS)]]</f>
        <v>0.21117046254989433</v>
      </c>
      <c r="F92" s="7">
        <f>Table1[[#This Row],[MRI Brain Scans (NHS)]]*5.8%</f>
        <v>4173.0999999999995</v>
      </c>
      <c r="G92" s="7">
        <f>Table1[[#This Row],[MRI Brain Scans (NHS)]]+Table1[[#This Row],[Private Brain Scans]]</f>
        <v>76123.100000000006</v>
      </c>
      <c r="H92" s="18">
        <v>5322.9423999999999</v>
      </c>
      <c r="I92" s="7">
        <v>13.516960093349875</v>
      </c>
      <c r="J92" s="11">
        <v>281358</v>
      </c>
      <c r="K92" s="11">
        <f>Table1[[#This Row],[Patient Waiting List (MRI)]]*Table1[[#This Row],[MRI Brain %]]</f>
        <v>59414.499002113167</v>
      </c>
      <c r="L92" s="11">
        <v>59101</v>
      </c>
      <c r="M92" s="7">
        <f>Table1[[#This Row],[MRI 6+ Week Waiter]]*Table1[[#This Row],[MRI Brain %]]</f>
        <v>12480.385507161305</v>
      </c>
      <c r="N92" s="12">
        <f>Table1[[#This Row],[Brain 6+ Week Waiters]]/Table1[[#This Row],[Brain Patients Waiting List]]</f>
        <v>0.21005622729760662</v>
      </c>
      <c r="O92" s="19">
        <v>427176</v>
      </c>
      <c r="P92" s="14">
        <v>22.17</v>
      </c>
      <c r="Q92" s="30"/>
    </row>
    <row r="93" spans="1:17" x14ac:dyDescent="0.35">
      <c r="A93" s="6">
        <v>44866</v>
      </c>
      <c r="B93" s="7">
        <v>57112500</v>
      </c>
      <c r="C93" s="17">
        <v>349015</v>
      </c>
      <c r="D93" s="18">
        <v>74935</v>
      </c>
      <c r="E93" s="10">
        <f>Table1[[#This Row],[MRI Brain Scans (NHS)]]/Table1[[#This Row],[MRI Scans (NHS)]]</f>
        <v>0.21470423907281921</v>
      </c>
      <c r="F93" s="7">
        <f>Table1[[#This Row],[MRI Brain Scans (NHS)]]*5.8%</f>
        <v>4346.2299999999996</v>
      </c>
      <c r="G93" s="7">
        <f>Table1[[#This Row],[MRI Brain Scans (NHS)]]+Table1[[#This Row],[Private Brain Scans]]</f>
        <v>79281.23</v>
      </c>
      <c r="H93" s="18">
        <v>5337.5165999999999</v>
      </c>
      <c r="I93" s="7">
        <v>14.039300599083852</v>
      </c>
      <c r="J93" s="11">
        <v>302919</v>
      </c>
      <c r="K93" s="11">
        <f>Table1[[#This Row],[Patient Waiting List (MRI)]]*Table1[[#This Row],[MRI Brain %]]</f>
        <v>65037.993395699326</v>
      </c>
      <c r="L93" s="11">
        <v>62947</v>
      </c>
      <c r="M93" s="7">
        <f>Table1[[#This Row],[MRI 6+ Week Waiter]]*Table1[[#This Row],[MRI Brain %]]</f>
        <v>13514.987736916752</v>
      </c>
      <c r="N93" s="12">
        <f>Table1[[#This Row],[Brain 6+ Week Waiters]]/Table1[[#This Row],[Brain Patients Waiting List]]</f>
        <v>0.20780142546357278</v>
      </c>
      <c r="O93" s="19">
        <v>436766</v>
      </c>
      <c r="P93" s="14">
        <v>22.17</v>
      </c>
      <c r="Q93" s="30"/>
    </row>
    <row r="94" spans="1:17" x14ac:dyDescent="0.35">
      <c r="A94" s="6">
        <v>44896</v>
      </c>
      <c r="B94" s="7">
        <v>57112500</v>
      </c>
      <c r="C94" s="17">
        <v>323195</v>
      </c>
      <c r="D94" s="18">
        <v>70035</v>
      </c>
      <c r="E94" s="10">
        <f>Table1[[#This Row],[MRI Brain Scans (NHS)]]/Table1[[#This Row],[MRI Scans (NHS)]]</f>
        <v>0.21669580284348458</v>
      </c>
      <c r="F94" s="7">
        <f>Table1[[#This Row],[MRI Brain Scans (NHS)]]*5.8%</f>
        <v>4062.0299999999997</v>
      </c>
      <c r="G94" s="7">
        <f>Table1[[#This Row],[MRI Brain Scans (NHS)]]+Table1[[#This Row],[Private Brain Scans]]</f>
        <v>74097.03</v>
      </c>
      <c r="H94" s="18">
        <v>5357.2856499999998</v>
      </c>
      <c r="I94" s="7">
        <v>13.072851547499619</v>
      </c>
      <c r="J94" s="11">
        <v>283854</v>
      </c>
      <c r="K94" s="11">
        <f>Table1[[#This Row],[Patient Waiting List (MRI)]]*Table1[[#This Row],[MRI Brain %]]</f>
        <v>61509.970420334474</v>
      </c>
      <c r="L94" s="11">
        <v>72809</v>
      </c>
      <c r="M94" s="7">
        <f>Table1[[#This Row],[MRI 6+ Week Waiter]]*Table1[[#This Row],[MRI Brain %]]</f>
        <v>15777.404709231268</v>
      </c>
      <c r="N94" s="12">
        <f>Table1[[#This Row],[Brain 6+ Week Waiters]]/Table1[[#This Row],[Brain Patients Waiting List]]</f>
        <v>0.25650158179909388</v>
      </c>
      <c r="O94" s="19">
        <v>434079</v>
      </c>
      <c r="P94" s="14">
        <v>22.17</v>
      </c>
      <c r="Q94" s="30"/>
    </row>
    <row r="95" spans="1:17" x14ac:dyDescent="0.35">
      <c r="A95" s="6">
        <v>44927</v>
      </c>
      <c r="B95" s="7">
        <v>57690300</v>
      </c>
      <c r="C95" s="17">
        <v>355300</v>
      </c>
      <c r="D95" s="18">
        <v>78105</v>
      </c>
      <c r="E95" s="10">
        <f>Table1[[#This Row],[MRI Brain Scans (NHS)]]/Table1[[#This Row],[MRI Scans (NHS)]]</f>
        <v>0.21982831410075993</v>
      </c>
      <c r="F95" s="7">
        <f>Table1[[#This Row],[MRI Brain Scans (NHS)]]*5.8%</f>
        <v>4530.0899999999992</v>
      </c>
      <c r="G95" s="7">
        <f>Table1[[#This Row],[MRI Brain Scans (NHS)]]+Table1[[#This Row],[Private Brain Scans]]</f>
        <v>82635.09</v>
      </c>
      <c r="H95" s="18">
        <v>5369.4313999999995</v>
      </c>
      <c r="I95" s="7">
        <v>14.546232958670448</v>
      </c>
      <c r="J95" s="11">
        <v>294469</v>
      </c>
      <c r="K95" s="11">
        <f>Table1[[#This Row],[Patient Waiting List (MRI)]]*Table1[[#This Row],[MRI Brain %]]</f>
        <v>64732.623824936672</v>
      </c>
      <c r="L95" s="11">
        <v>76915</v>
      </c>
      <c r="M95" s="7">
        <f>Table1[[#This Row],[MRI 6+ Week Waiter]]*Table1[[#This Row],[MRI Brain %]]</f>
        <v>16908.094779059949</v>
      </c>
      <c r="N95" s="12">
        <f>Table1[[#This Row],[Brain 6+ Week Waiters]]/Table1[[#This Row],[Brain Patients Waiting List]]</f>
        <v>0.26119897170839718</v>
      </c>
      <c r="O95" s="19">
        <v>431845</v>
      </c>
      <c r="P95" s="14">
        <v>22.17</v>
      </c>
      <c r="Q95" s="30"/>
    </row>
    <row r="96" spans="1:17" x14ac:dyDescent="0.35">
      <c r="A96" s="6">
        <v>44958</v>
      </c>
      <c r="B96" s="7">
        <v>57690300</v>
      </c>
      <c r="C96" s="17">
        <v>338325</v>
      </c>
      <c r="D96" s="18">
        <v>73520</v>
      </c>
      <c r="E96" s="10">
        <f>Table1[[#This Row],[MRI Brain Scans (NHS)]]/Table1[[#This Row],[MRI Scans (NHS)]]</f>
        <v>0.21730584497155103</v>
      </c>
      <c r="F96" s="7">
        <f>Table1[[#This Row],[MRI Brain Scans (NHS)]]*5.8%</f>
        <v>4264.16</v>
      </c>
      <c r="G96" s="7">
        <f>Table1[[#This Row],[MRI Brain Scans (NHS)]]+Table1[[#This Row],[Private Brain Scans]]</f>
        <v>77784.160000000003</v>
      </c>
      <c r="H96" s="18">
        <v>5361.5330000000004</v>
      </c>
      <c r="I96" s="7">
        <v>13.712496034249904</v>
      </c>
      <c r="J96" s="11">
        <v>298301</v>
      </c>
      <c r="K96" s="11">
        <f>Table1[[#This Row],[Patient Waiting List (MRI)]]*Table1[[#This Row],[MRI Brain %]]</f>
        <v>64822.550860858646</v>
      </c>
      <c r="L96" s="11">
        <v>62097</v>
      </c>
      <c r="M96" s="7">
        <f>Table1[[#This Row],[MRI 6+ Week Waiter]]*Table1[[#This Row],[MRI Brain %]]</f>
        <v>13494.041055198404</v>
      </c>
      <c r="N96" s="12">
        <f>Table1[[#This Row],[Brain 6+ Week Waiters]]/Table1[[#This Row],[Brain Patients Waiting List]]</f>
        <v>0.20816893004046247</v>
      </c>
      <c r="O96" s="19">
        <v>438213</v>
      </c>
      <c r="P96" s="14">
        <v>22.17</v>
      </c>
      <c r="Q96" s="30"/>
    </row>
    <row r="97" spans="1:17" x14ac:dyDescent="0.35">
      <c r="A97" s="6">
        <v>44986</v>
      </c>
      <c r="B97" s="7">
        <v>57690300</v>
      </c>
      <c r="C97" s="17">
        <v>377325</v>
      </c>
      <c r="D97" s="18">
        <v>82500</v>
      </c>
      <c r="E97" s="10">
        <f>Table1[[#This Row],[MRI Brain Scans (NHS)]]/Table1[[#This Row],[MRI Scans (NHS)]]</f>
        <v>0.21864440469091631</v>
      </c>
      <c r="F97" s="7">
        <f>Table1[[#This Row],[MRI Brain Scans (NHS)]]*5.8%</f>
        <v>4785</v>
      </c>
      <c r="G97" s="7">
        <f>Table1[[#This Row],[MRI Brain Scans (NHS)]]+Table1[[#This Row],[Private Brain Scans]]</f>
        <v>87285</v>
      </c>
      <c r="H97" s="18">
        <v>5350.1616999999997</v>
      </c>
      <c r="I97" s="7">
        <v>15.420094686110142</v>
      </c>
      <c r="J97" s="11">
        <v>301866</v>
      </c>
      <c r="K97" s="11">
        <f>Table1[[#This Row],[Patient Waiting List (MRI)]]*Table1[[#This Row],[MRI Brain %]]</f>
        <v>66001.31186642815</v>
      </c>
      <c r="L97" s="11">
        <v>62553</v>
      </c>
      <c r="M97" s="7">
        <f>Table1[[#This Row],[MRI 6+ Week Waiter]]*Table1[[#This Row],[MRI Brain %]]</f>
        <v>13676.863446630889</v>
      </c>
      <c r="N97" s="12">
        <f>Table1[[#This Row],[Brain 6+ Week Waiters]]/Table1[[#This Row],[Brain Patients Waiting List]]</f>
        <v>0.20722108485221918</v>
      </c>
      <c r="O97" s="19">
        <v>448776</v>
      </c>
      <c r="P97" s="14">
        <v>22.17</v>
      </c>
      <c r="Q97" s="30"/>
    </row>
    <row r="98" spans="1:17" x14ac:dyDescent="0.35">
      <c r="A98" s="6">
        <v>45017</v>
      </c>
      <c r="B98" s="7">
        <v>57690300</v>
      </c>
      <c r="C98" s="17">
        <v>351750</v>
      </c>
      <c r="D98" s="18">
        <v>76365</v>
      </c>
      <c r="E98" s="10">
        <f>Table1[[#This Row],[MRI Brain Scans (NHS)]]/Table1[[#This Row],[MRI Scans (NHS)]]</f>
        <v>0.2171002132196162</v>
      </c>
      <c r="F98" s="7">
        <f>Table1[[#This Row],[MRI Brain Scans (NHS)]]*5.8%</f>
        <v>4429.17</v>
      </c>
      <c r="G98" s="7">
        <f>Table1[[#This Row],[MRI Brain Scans (NHS)]]+Table1[[#This Row],[Private Brain Scans]]</f>
        <v>80794.17</v>
      </c>
      <c r="H98" s="18">
        <v>5370.3967900000007</v>
      </c>
      <c r="I98" s="7">
        <v>14.219619701508124</v>
      </c>
      <c r="J98" s="11">
        <v>274137</v>
      </c>
      <c r="K98" s="11">
        <f>Table1[[#This Row],[Patient Waiting List (MRI)]]*Table1[[#This Row],[MRI Brain %]]</f>
        <v>59515.201151385925</v>
      </c>
      <c r="L98" s="11">
        <v>62449</v>
      </c>
      <c r="M98" s="7">
        <f>Table1[[#This Row],[MRI 6+ Week Waiter]]*Table1[[#This Row],[MRI Brain %]]</f>
        <v>13557.691215351811</v>
      </c>
      <c r="N98" s="12">
        <f>Table1[[#This Row],[Brain 6+ Week Waiters]]/Table1[[#This Row],[Brain Patients Waiting List]]</f>
        <v>0.22780215731550282</v>
      </c>
      <c r="O98" s="19">
        <v>460518</v>
      </c>
      <c r="P98" s="14">
        <v>22.47</v>
      </c>
      <c r="Q98" s="30"/>
    </row>
    <row r="99" spans="1:17" x14ac:dyDescent="0.35">
      <c r="A99" s="6">
        <v>45047</v>
      </c>
      <c r="B99" s="7">
        <v>57690300</v>
      </c>
      <c r="C99" s="17">
        <v>362600</v>
      </c>
      <c r="D99" s="18">
        <v>79490</v>
      </c>
      <c r="E99" s="10">
        <f>Table1[[#This Row],[MRI Brain Scans (NHS)]]/Table1[[#This Row],[MRI Scans (NHS)]]</f>
        <v>0.2192222835079978</v>
      </c>
      <c r="F99" s="7">
        <f>Table1[[#This Row],[MRI Brain Scans (NHS)]]*5.8%</f>
        <v>4610.42</v>
      </c>
      <c r="G99" s="7">
        <f>Table1[[#This Row],[MRI Brain Scans (NHS)]]+Table1[[#This Row],[Private Brain Scans]]</f>
        <v>84100.42</v>
      </c>
      <c r="H99" s="18">
        <v>5355.3102900000004</v>
      </c>
      <c r="I99" s="7">
        <v>14.843210887039001</v>
      </c>
      <c r="J99" s="11">
        <v>278538</v>
      </c>
      <c r="K99" s="11">
        <f>Table1[[#This Row],[Patient Waiting List (MRI)]]*Table1[[#This Row],[MRI Brain %]]</f>
        <v>61061.736403750692</v>
      </c>
      <c r="L99" s="11">
        <v>55192</v>
      </c>
      <c r="M99" s="7">
        <f>Table1[[#This Row],[MRI 6+ Week Waiter]]*Table1[[#This Row],[MRI Brain %]]</f>
        <v>12099.316271373415</v>
      </c>
      <c r="N99" s="12">
        <f>Table1[[#This Row],[Brain 6+ Week Waiters]]/Table1[[#This Row],[Brain Patients Waiting List]]</f>
        <v>0.19814890607385707</v>
      </c>
      <c r="O99" s="19">
        <v>461340</v>
      </c>
      <c r="P99" s="14">
        <v>22.47</v>
      </c>
      <c r="Q99" s="30"/>
    </row>
    <row r="100" spans="1:17" x14ac:dyDescent="0.35">
      <c r="A100" s="6">
        <v>45078</v>
      </c>
      <c r="B100" s="7">
        <v>57690300</v>
      </c>
      <c r="C100" s="17">
        <v>365395</v>
      </c>
      <c r="D100" s="18">
        <v>78790</v>
      </c>
      <c r="E100" s="10">
        <f>Table1[[#This Row],[MRI Brain Scans (NHS)]]/Table1[[#This Row],[MRI Scans (NHS)]]</f>
        <v>0.21562966105173853</v>
      </c>
      <c r="F100" s="7">
        <f>Table1[[#This Row],[MRI Brain Scans (NHS)]]*5.8%</f>
        <v>4569.82</v>
      </c>
      <c r="G100" s="7">
        <f>Table1[[#This Row],[MRI Brain Scans (NHS)]]+Table1[[#This Row],[Private Brain Scans]]</f>
        <v>83359.820000000007</v>
      </c>
      <c r="H100" s="18">
        <v>5352.49784</v>
      </c>
      <c r="I100" s="7">
        <v>14.720230134646817</v>
      </c>
      <c r="J100" s="11">
        <v>290214</v>
      </c>
      <c r="K100" s="11">
        <f>Table1[[#This Row],[Patient Waiting List (MRI)]]*Table1[[#This Row],[MRI Brain %]]</f>
        <v>62578.746452469248</v>
      </c>
      <c r="L100" s="11">
        <v>55935</v>
      </c>
      <c r="M100" s="7">
        <f>Table1[[#This Row],[MRI 6+ Week Waiter]]*Table1[[#This Row],[MRI Brain %]]</f>
        <v>12061.245090928995</v>
      </c>
      <c r="N100" s="12">
        <f>Table1[[#This Row],[Brain 6+ Week Waiters]]/Table1[[#This Row],[Brain Patients Waiting List]]</f>
        <v>0.19273708366929232</v>
      </c>
      <c r="O100" s="19">
        <v>465516</v>
      </c>
      <c r="P100" s="14">
        <v>22.47</v>
      </c>
      <c r="Q100" s="30"/>
    </row>
    <row r="101" spans="1:17" x14ac:dyDescent="0.35">
      <c r="A101" s="6">
        <v>45108</v>
      </c>
      <c r="B101" s="7">
        <v>57690300</v>
      </c>
      <c r="C101" s="17">
        <v>373630</v>
      </c>
      <c r="D101" s="18">
        <v>80230</v>
      </c>
      <c r="E101" s="10">
        <f>Table1[[#This Row],[MRI Brain Scans (NHS)]]/Table1[[#This Row],[MRI Scans (NHS)]]</f>
        <v>0.21473115113882718</v>
      </c>
      <c r="F101" s="7">
        <f>Table1[[#This Row],[MRI Brain Scans (NHS)]]*5.8%</f>
        <v>4653.3399999999992</v>
      </c>
      <c r="G101" s="7">
        <f>Table1[[#This Row],[MRI Brain Scans (NHS)]]+Table1[[#This Row],[Private Brain Scans]]</f>
        <v>84883.34</v>
      </c>
      <c r="H101" s="18">
        <v>5349.5593400000007</v>
      </c>
      <c r="I101" s="7">
        <v>14.997496971404749</v>
      </c>
      <c r="J101" s="11">
        <v>280857</v>
      </c>
      <c r="K101" s="11">
        <f>Table1[[#This Row],[Patient Waiting List (MRI)]]*Table1[[#This Row],[MRI Brain %]]</f>
        <v>60308.746915397584</v>
      </c>
      <c r="L101" s="11">
        <v>55301</v>
      </c>
      <c r="M101" s="7">
        <f>Table1[[#This Row],[MRI 6+ Week Waiter]]*Table1[[#This Row],[MRI Brain %]]</f>
        <v>11874.847389128281</v>
      </c>
      <c r="N101" s="12">
        <f>Table1[[#This Row],[Brain 6+ Week Waiters]]/Table1[[#This Row],[Brain Patients Waiting List]]</f>
        <v>0.19690091398825738</v>
      </c>
      <c r="O101" s="19">
        <v>469679</v>
      </c>
      <c r="P101" s="14">
        <v>22.47</v>
      </c>
      <c r="Q101" s="30"/>
    </row>
    <row r="102" spans="1:17" x14ac:dyDescent="0.35">
      <c r="A102" s="6">
        <v>45139</v>
      </c>
      <c r="B102" s="7">
        <v>57690300</v>
      </c>
      <c r="C102" s="17">
        <v>361705</v>
      </c>
      <c r="D102" s="18">
        <v>78525</v>
      </c>
      <c r="E102" s="10">
        <f>Table1[[#This Row],[MRI Brain Scans (NHS)]]/Table1[[#This Row],[MRI Scans (NHS)]]</f>
        <v>0.21709680540772175</v>
      </c>
      <c r="F102" s="7">
        <f>Table1[[#This Row],[MRI Brain Scans (NHS)]]*5.8%</f>
        <v>4554.45</v>
      </c>
      <c r="G102" s="7">
        <f>Table1[[#This Row],[MRI Brain Scans (NHS)]]+Table1[[#This Row],[Private Brain Scans]]</f>
        <v>83079.45</v>
      </c>
      <c r="H102" s="18">
        <v>5485.0786399999997</v>
      </c>
      <c r="I102" s="7">
        <v>14.31611197464983</v>
      </c>
      <c r="J102" s="11">
        <v>268531</v>
      </c>
      <c r="K102" s="11">
        <f>Table1[[#This Row],[Patient Waiting List (MRI)]]*Table1[[#This Row],[MRI Brain %]]</f>
        <v>58297.222252940926</v>
      </c>
      <c r="L102" s="11">
        <v>56436</v>
      </c>
      <c r="M102" s="7">
        <f>Table1[[#This Row],[MRI 6+ Week Waiter]]*Table1[[#This Row],[MRI Brain %]]</f>
        <v>12252.075309990185</v>
      </c>
      <c r="N102" s="12">
        <f>Table1[[#This Row],[Brain 6+ Week Waiters]]/Table1[[#This Row],[Brain Patients Waiting List]]</f>
        <v>0.21016567919532569</v>
      </c>
      <c r="O102" s="19">
        <v>473086</v>
      </c>
      <c r="P102" s="14">
        <v>22.47</v>
      </c>
      <c r="Q102" s="30"/>
    </row>
    <row r="103" spans="1:17" x14ac:dyDescent="0.35">
      <c r="A103" s="6">
        <v>45170</v>
      </c>
      <c r="B103" s="7">
        <v>57690300</v>
      </c>
      <c r="C103" s="17">
        <v>362105</v>
      </c>
      <c r="D103" s="18">
        <v>78850</v>
      </c>
      <c r="E103" s="10">
        <f>Table1[[#This Row],[MRI Brain Scans (NHS)]]/Table1[[#This Row],[MRI Scans (NHS)]]</f>
        <v>0.21775451871694673</v>
      </c>
      <c r="F103" s="7">
        <f>Table1[[#This Row],[MRI Brain Scans (NHS)]]*5.8%</f>
        <v>4573.2999999999993</v>
      </c>
      <c r="G103" s="7">
        <f>Table1[[#This Row],[MRI Brain Scans (NHS)]]+Table1[[#This Row],[Private Brain Scans]]</f>
        <v>83423.3</v>
      </c>
      <c r="H103" s="18">
        <v>5606.5483100000001</v>
      </c>
      <c r="I103" s="7">
        <v>14.063911633359313</v>
      </c>
      <c r="J103" s="11">
        <v>280785</v>
      </c>
      <c r="K103" s="11">
        <f>Table1[[#This Row],[Patient Waiting List (MRI)]]*Table1[[#This Row],[MRI Brain %]]</f>
        <v>61142.20253793789</v>
      </c>
      <c r="L103" s="11">
        <v>53713</v>
      </c>
      <c r="M103" s="7">
        <f>Table1[[#This Row],[MRI 6+ Week Waiter]]*Table1[[#This Row],[MRI Brain %]]</f>
        <v>11696.24846384336</v>
      </c>
      <c r="N103" s="12">
        <f>Table1[[#This Row],[Brain 6+ Week Waiters]]/Table1[[#This Row],[Brain Patients Waiting List]]</f>
        <v>0.19129583133002118</v>
      </c>
      <c r="O103" s="19">
        <v>475573</v>
      </c>
      <c r="P103" s="14">
        <v>22.47</v>
      </c>
      <c r="Q103" s="30"/>
    </row>
    <row r="104" spans="1:17" x14ac:dyDescent="0.35">
      <c r="A104" s="6">
        <v>45200</v>
      </c>
      <c r="B104" s="7">
        <v>57690300</v>
      </c>
      <c r="C104" s="17">
        <v>375910</v>
      </c>
      <c r="D104" s="18">
        <v>80760</v>
      </c>
      <c r="E104" s="10">
        <f>Table1[[#This Row],[MRI Brain Scans (NHS)]]/Table1[[#This Row],[MRI Scans (NHS)]]</f>
        <v>0.21483865818946024</v>
      </c>
      <c r="F104" s="7">
        <f>Table1[[#This Row],[MRI Brain Scans (NHS)]]*5.8%</f>
        <v>4684.08</v>
      </c>
      <c r="G104" s="7">
        <f>Table1[[#This Row],[MRI Brain Scans (NHS)]]+Table1[[#This Row],[Private Brain Scans]]</f>
        <v>85444.08</v>
      </c>
      <c r="H104" s="18">
        <v>5628.6038499999995</v>
      </c>
      <c r="I104" s="7">
        <v>14.348140702778364</v>
      </c>
      <c r="J104" s="11">
        <v>292806</v>
      </c>
      <c r="K104" s="11">
        <f>Table1[[#This Row],[Patient Waiting List (MRI)]]*Table1[[#This Row],[MRI Brain %]]</f>
        <v>62906.048149823095</v>
      </c>
      <c r="L104" s="11">
        <v>52603</v>
      </c>
      <c r="M104" s="7">
        <f>Table1[[#This Row],[MRI 6+ Week Waiter]]*Table1[[#This Row],[MRI Brain %]]</f>
        <v>11301.157936740177</v>
      </c>
      <c r="N104" s="12">
        <f>Table1[[#This Row],[Brain 6+ Week Waiters]]/Table1[[#This Row],[Brain Patients Waiting List]]</f>
        <v>0.17965137326420907</v>
      </c>
      <c r="O104" s="19">
        <v>477606</v>
      </c>
      <c r="P104" s="14">
        <v>22.47</v>
      </c>
      <c r="Q104" s="30"/>
    </row>
    <row r="105" spans="1:17" x14ac:dyDescent="0.35">
      <c r="A105" s="6">
        <v>45231</v>
      </c>
      <c r="B105" s="7">
        <v>57690300</v>
      </c>
      <c r="C105" s="17">
        <v>376775</v>
      </c>
      <c r="D105" s="18">
        <v>80590</v>
      </c>
      <c r="E105" s="10">
        <f>Table1[[#This Row],[MRI Brain Scans (NHS)]]/Table1[[#This Row],[MRI Scans (NHS)]]</f>
        <v>0.21389423395925949</v>
      </c>
      <c r="F105" s="7">
        <f>Table1[[#This Row],[MRI Brain Scans (NHS)]]*5.8%</f>
        <v>4674.2199999999993</v>
      </c>
      <c r="G105" s="7">
        <f>Table1[[#This Row],[MRI Brain Scans (NHS)]]+Table1[[#This Row],[Private Brain Scans]]</f>
        <v>85264.22</v>
      </c>
      <c r="H105" s="18">
        <v>5624.9770499999995</v>
      </c>
      <c r="I105" s="7">
        <v>14.327169565962942</v>
      </c>
      <c r="J105" s="11">
        <v>314833</v>
      </c>
      <c r="K105" s="11">
        <f>Table1[[#This Row],[Patient Waiting List (MRI)]]*Table1[[#This Row],[MRI Brain %]]</f>
        <v>67340.963360095542</v>
      </c>
      <c r="L105" s="11">
        <v>53736</v>
      </c>
      <c r="M105" s="7">
        <f>Table1[[#This Row],[MRI 6+ Week Waiter]]*Table1[[#This Row],[MRI Brain %]]</f>
        <v>11493.820556034769</v>
      </c>
      <c r="N105" s="12">
        <f>Table1[[#This Row],[Brain 6+ Week Waiters]]/Table1[[#This Row],[Brain Patients Waiting List]]</f>
        <v>0.17068096419371542</v>
      </c>
      <c r="O105" s="19">
        <v>479652</v>
      </c>
      <c r="P105" s="14">
        <v>22.47</v>
      </c>
      <c r="Q105" s="30"/>
    </row>
    <row r="106" spans="1:17" x14ac:dyDescent="0.35">
      <c r="A106" s="6">
        <v>45261</v>
      </c>
      <c r="B106" s="7">
        <v>57690300</v>
      </c>
      <c r="C106" s="17">
        <v>348090</v>
      </c>
      <c r="D106" s="18">
        <v>73775</v>
      </c>
      <c r="E106" s="10">
        <f>Table1[[#This Row],[MRI Brain Scans (NHS)]]/Table1[[#This Row],[MRI Scans (NHS)]]</f>
        <v>0.21194231376942746</v>
      </c>
      <c r="F106" s="7">
        <f>Table1[[#This Row],[MRI Brain Scans (NHS)]]*5.8%</f>
        <v>4278.95</v>
      </c>
      <c r="G106" s="7">
        <f>Table1[[#This Row],[MRI Brain Scans (NHS)]]+Table1[[#This Row],[Private Brain Scans]]</f>
        <v>78053.95</v>
      </c>
      <c r="H106" s="18">
        <v>5611.3716700000004</v>
      </c>
      <c r="I106" s="7">
        <v>13.147409285758467</v>
      </c>
      <c r="J106" s="11">
        <v>287690</v>
      </c>
      <c r="K106" s="11">
        <f>Table1[[#This Row],[Patient Waiting List (MRI)]]*Table1[[#This Row],[MRI Brain %]]</f>
        <v>60973.684248326586</v>
      </c>
      <c r="L106" s="11">
        <v>58829</v>
      </c>
      <c r="M106" s="7">
        <f>Table1[[#This Row],[MRI 6+ Week Waiter]]*Table1[[#This Row],[MRI Brain %]]</f>
        <v>12468.354376741649</v>
      </c>
      <c r="N106" s="12">
        <f>Table1[[#This Row],[Brain 6+ Week Waiters]]/Table1[[#This Row],[Brain Patients Waiting List]]</f>
        <v>0.20448746915082208</v>
      </c>
      <c r="O106" s="19">
        <v>479540</v>
      </c>
      <c r="P106" s="14">
        <v>22.47</v>
      </c>
      <c r="Q106" s="30"/>
    </row>
    <row r="107" spans="1:17" x14ac:dyDescent="0.35">
      <c r="A107" s="6">
        <v>45292</v>
      </c>
      <c r="B107" s="7">
        <v>58382600</v>
      </c>
      <c r="C107" s="17">
        <v>383985</v>
      </c>
      <c r="D107" s="18">
        <v>82325</v>
      </c>
      <c r="E107" s="10">
        <f>Table1[[#This Row],[MRI Brain Scans (NHS)]]/Table1[[#This Row],[MRI Scans (NHS)]]</f>
        <v>0.21439639569254007</v>
      </c>
      <c r="F107" s="7">
        <f>Table1[[#This Row],[MRI Brain Scans (NHS)]]*5.8%</f>
        <v>4774.8499999999995</v>
      </c>
      <c r="G107" s="7">
        <f>Table1[[#This Row],[MRI Brain Scans (NHS)]]+Table1[[#This Row],[Private Brain Scans]]</f>
        <v>87099.85</v>
      </c>
      <c r="H107" s="18">
        <v>5627.7450699999999</v>
      </c>
      <c r="I107" s="7">
        <v>14.628416706160431</v>
      </c>
      <c r="J107" s="11">
        <v>302852</v>
      </c>
      <c r="K107" s="11">
        <f>Table1[[#This Row],[Patient Waiting List (MRI)]]*Table1[[#This Row],[MRI Brain %]]</f>
        <v>64930.377228277146</v>
      </c>
      <c r="L107" s="11">
        <v>66247</v>
      </c>
      <c r="M107" s="7">
        <f>Table1[[#This Row],[MRI 6+ Week Waiter]]*Table1[[#This Row],[MRI Brain %]]</f>
        <v>14203.118025443702</v>
      </c>
      <c r="N107" s="12">
        <f>Table1[[#This Row],[Brain 6+ Week Waiters]]/Table1[[#This Row],[Brain Patients Waiting List]]</f>
        <v>0.21874380885713154</v>
      </c>
      <c r="O107" s="19">
        <v>477623</v>
      </c>
      <c r="P107" s="14">
        <v>22.47</v>
      </c>
      <c r="Q107" s="30"/>
    </row>
    <row r="108" spans="1:17" x14ac:dyDescent="0.35">
      <c r="A108" s="6">
        <v>45323</v>
      </c>
      <c r="B108" s="7">
        <v>58382600</v>
      </c>
      <c r="C108" s="17">
        <v>371150</v>
      </c>
      <c r="D108" s="18">
        <v>80435</v>
      </c>
      <c r="E108" s="10">
        <f>Table1[[#This Row],[MRI Brain Scans (NHS)]]/Table1[[#This Row],[MRI Scans (NHS)]]</f>
        <v>0.21671830796174055</v>
      </c>
      <c r="F108" s="7">
        <f>Table1[[#This Row],[MRI Brain Scans (NHS)]]*5.8%</f>
        <v>4665.2299999999996</v>
      </c>
      <c r="G108" s="7">
        <f>Table1[[#This Row],[MRI Brain Scans (NHS)]]+Table1[[#This Row],[Private Brain Scans]]</f>
        <v>85100.23</v>
      </c>
      <c r="H108" s="18">
        <v>5636.2487700000001</v>
      </c>
      <c r="I108" s="7">
        <v>14.271016642865463</v>
      </c>
      <c r="J108" s="11">
        <v>316932</v>
      </c>
      <c r="K108" s="11">
        <f>Table1[[#This Row],[Patient Waiting List (MRI)]]*Table1[[#This Row],[MRI Brain %]]</f>
        <v>68684.966778930349</v>
      </c>
      <c r="L108" s="11">
        <v>53525</v>
      </c>
      <c r="M108" s="7">
        <f>Table1[[#This Row],[MRI 6+ Week Waiter]]*Table1[[#This Row],[MRI Brain %]]</f>
        <v>11599.847433652163</v>
      </c>
      <c r="N108" s="12">
        <f>Table1[[#This Row],[Brain 6+ Week Waiters]]/Table1[[#This Row],[Brain Patients Waiting List]]</f>
        <v>0.16888480809763609</v>
      </c>
      <c r="O108" s="19">
        <v>478822</v>
      </c>
      <c r="P108" s="14">
        <v>22.47</v>
      </c>
      <c r="Q108" s="30"/>
    </row>
    <row r="109" spans="1:17" x14ac:dyDescent="0.35">
      <c r="A109" s="6">
        <v>45352</v>
      </c>
      <c r="B109" s="7">
        <v>58382600</v>
      </c>
      <c r="C109" s="17">
        <v>382365</v>
      </c>
      <c r="D109" s="18">
        <v>83375</v>
      </c>
      <c r="E109" s="10">
        <f>Table1[[#This Row],[MRI Brain Scans (NHS)]]/Table1[[#This Row],[MRI Scans (NHS)]]</f>
        <v>0.21805081532043991</v>
      </c>
      <c r="F109" s="7">
        <f>Table1[[#This Row],[MRI Brain Scans (NHS)]]*5.8%</f>
        <v>4835.75</v>
      </c>
      <c r="G109" s="7">
        <f>Table1[[#This Row],[MRI Brain Scans (NHS)]]+Table1[[#This Row],[Private Brain Scans]]</f>
        <v>88210.75</v>
      </c>
      <c r="H109" s="18">
        <v>5628.0509000000002</v>
      </c>
      <c r="I109" s="7">
        <v>14.814187270410081</v>
      </c>
      <c r="J109" s="11">
        <v>310208</v>
      </c>
      <c r="K109" s="11">
        <f>Table1[[#This Row],[Patient Waiting List (MRI)]]*Table1[[#This Row],[MRI Brain %]]</f>
        <v>67641.107318923023</v>
      </c>
      <c r="L109" s="11">
        <v>57411</v>
      </c>
      <c r="M109" s="7">
        <f>Table1[[#This Row],[MRI 6+ Week Waiter]]*Table1[[#This Row],[MRI Brain %]]</f>
        <v>12518.515358361776</v>
      </c>
      <c r="N109" s="12">
        <f>Table1[[#This Row],[Brain 6+ Week Waiters]]/Table1[[#This Row],[Brain Patients Waiting List]]</f>
        <v>0.18507259645141325</v>
      </c>
      <c r="O109" s="19">
        <v>481707</v>
      </c>
      <c r="P109" s="14">
        <v>22.47</v>
      </c>
      <c r="Q109" s="30"/>
    </row>
    <row r="110" spans="1:17" x14ac:dyDescent="0.35">
      <c r="A110" s="6">
        <v>45383</v>
      </c>
      <c r="B110" s="7">
        <v>58382600</v>
      </c>
      <c r="C110" s="20">
        <v>390615</v>
      </c>
      <c r="D110" s="21">
        <v>84510</v>
      </c>
      <c r="E110" s="10">
        <f>Table1[[#This Row],[MRI Brain Scans (NHS)]]/Table1[[#This Row],[MRI Scans (NHS)]]</f>
        <v>0.2163511385891479</v>
      </c>
      <c r="F110" s="7">
        <f>Table1[[#This Row],[MRI Brain Scans (NHS)]]*5.8%</f>
        <v>4901.58</v>
      </c>
      <c r="G110" s="7">
        <f>Table1[[#This Row],[MRI Brain Scans (NHS)]]+Table1[[#This Row],[Private Brain Scans]]</f>
        <v>89411.58</v>
      </c>
      <c r="H110" s="21">
        <v>5617.8462</v>
      </c>
      <c r="I110" s="7">
        <v>15.043131654262803</v>
      </c>
      <c r="J110" s="11">
        <v>314395</v>
      </c>
      <c r="K110" s="11">
        <f>Table1[[#This Row],[Patient Waiting List (MRI)]]*Table1[[#This Row],[MRI Brain %]]</f>
        <v>68019.716216735149</v>
      </c>
      <c r="L110" s="11">
        <v>64512</v>
      </c>
      <c r="M110" s="7">
        <f>Table1[[#This Row],[MRI 6+ Week Waiter]]*Table1[[#This Row],[MRI Brain %]]</f>
        <v>13957.244652663108</v>
      </c>
      <c r="N110" s="12">
        <f>Table1[[#This Row],[Brain 6+ Week Waiters]]/Table1[[#This Row],[Brain Patients Waiting List]]</f>
        <v>0.20519410295965268</v>
      </c>
      <c r="O110" s="19">
        <v>481783</v>
      </c>
      <c r="P110" s="14">
        <v>22.77</v>
      </c>
      <c r="Q110" s="30"/>
    </row>
    <row r="111" spans="1:17" x14ac:dyDescent="0.35">
      <c r="A111" s="6">
        <v>45413</v>
      </c>
      <c r="B111" s="7">
        <v>58382600</v>
      </c>
      <c r="C111" s="20">
        <v>405470</v>
      </c>
      <c r="D111" s="21">
        <v>87220</v>
      </c>
      <c r="E111" s="10">
        <f>Table1[[#This Row],[MRI Brain Scans (NHS)]]/Table1[[#This Row],[MRI Scans (NHS)]]</f>
        <v>0.21510839272942511</v>
      </c>
      <c r="F111" s="7">
        <f>Table1[[#This Row],[MRI Brain Scans (NHS)]]*5.8%</f>
        <v>5058.7599999999993</v>
      </c>
      <c r="G111" s="7">
        <f>Table1[[#This Row],[MRI Brain Scans (NHS)]]+Table1[[#This Row],[Private Brain Scans]]</f>
        <v>92278.76</v>
      </c>
      <c r="H111" s="21">
        <v>5632.0027</v>
      </c>
      <c r="I111" s="7">
        <v>15.486498257538122</v>
      </c>
      <c r="J111" s="11">
        <v>318266</v>
      </c>
      <c r="K111" s="11">
        <f>Table1[[#This Row],[Patient Waiting List (MRI)]]*Table1[[#This Row],[MRI Brain %]]</f>
        <v>68461.687720423215</v>
      </c>
      <c r="L111" s="11">
        <v>61705</v>
      </c>
      <c r="M111" s="7">
        <f>Table1[[#This Row],[MRI 6+ Week Waiter]]*Table1[[#This Row],[MRI Brain %]]</f>
        <v>13273.263373369176</v>
      </c>
      <c r="N111" s="12">
        <f>Table1[[#This Row],[Brain 6+ Week Waiters]]/Table1[[#This Row],[Brain Patients Waiting List]]</f>
        <v>0.19387870523398665</v>
      </c>
      <c r="O111" s="19">
        <v>484277</v>
      </c>
      <c r="P111" s="14">
        <v>22.77</v>
      </c>
      <c r="Q111" s="30"/>
    </row>
    <row r="112" spans="1:17" x14ac:dyDescent="0.35">
      <c r="A112" s="6">
        <v>45444</v>
      </c>
      <c r="B112" s="7">
        <v>58382600</v>
      </c>
      <c r="C112" s="22">
        <v>393485</v>
      </c>
      <c r="D112" s="21">
        <v>83655</v>
      </c>
      <c r="E112" s="10">
        <f>Table1[[#This Row],[MRI Brain Scans (NHS)]]/Table1[[#This Row],[MRI Scans (NHS)]]</f>
        <v>0.21260022618397142</v>
      </c>
      <c r="F112" s="7">
        <f>Table1[[#This Row],[MRI Brain Scans (NHS)]]*5.8%</f>
        <v>4851.99</v>
      </c>
      <c r="G112" s="7">
        <f>Table1[[#This Row],[MRI Brain Scans (NHS)]]+Table1[[#This Row],[Private Brain Scans]]</f>
        <v>88506.99</v>
      </c>
      <c r="H112" s="21">
        <v>5616.3194999999996</v>
      </c>
      <c r="I112" s="7">
        <v>14.894985942306167</v>
      </c>
      <c r="J112" s="11">
        <v>314630</v>
      </c>
      <c r="K112" s="11">
        <f>Table1[[#This Row],[Patient Waiting List (MRI)]]*Table1[[#This Row],[MRI Brain %]]</f>
        <v>66890.409164262936</v>
      </c>
      <c r="L112" s="11">
        <v>62656</v>
      </c>
      <c r="M112" s="7">
        <f>Table1[[#This Row],[MRI 6+ Week Waiter]]*Table1[[#This Row],[MRI Brain %]]</f>
        <v>13320.679771782914</v>
      </c>
      <c r="N112" s="12">
        <f>Table1[[#This Row],[Brain 6+ Week Waiters]]/Table1[[#This Row],[Brain Patients Waiting List]]</f>
        <v>0.19914184915615166</v>
      </c>
      <c r="O112" s="23">
        <v>487432</v>
      </c>
      <c r="P112" s="14">
        <v>22.77</v>
      </c>
      <c r="Q112" s="30"/>
    </row>
    <row r="113" spans="1:17" x14ac:dyDescent="0.35">
      <c r="A113" s="6">
        <v>45474</v>
      </c>
      <c r="B113" s="7">
        <v>58382600</v>
      </c>
      <c r="C113" s="22">
        <v>401805</v>
      </c>
      <c r="D113" s="21">
        <v>85440</v>
      </c>
      <c r="E113" s="10">
        <f>Table1[[#This Row],[MRI Brain Scans (NHS)]]/Table1[[#This Row],[MRI Scans (NHS)]]</f>
        <v>0.2126404599245903</v>
      </c>
      <c r="F113" s="7">
        <f>Table1[[#This Row],[MRI Brain Scans (NHS)]]*5.8%</f>
        <v>4955.5199999999995</v>
      </c>
      <c r="G113" s="7">
        <f>Table1[[#This Row],[MRI Brain Scans (NHS)]]+Table1[[#This Row],[Private Brain Scans]]</f>
        <v>90395.520000000004</v>
      </c>
      <c r="H113" s="21">
        <v>5621.0400499999996</v>
      </c>
      <c r="I113" s="7">
        <v>15.200034022173531</v>
      </c>
      <c r="J113" s="11">
        <v>317938</v>
      </c>
      <c r="K113" s="11">
        <f>Table1[[#This Row],[Patient Waiting List (MRI)]]*Table1[[#This Row],[MRI Brain %]]</f>
        <v>67606.482547504391</v>
      </c>
      <c r="L113" s="11">
        <v>63042</v>
      </c>
      <c r="M113" s="7">
        <f>Table1[[#This Row],[MRI 6+ Week Waiter]]*Table1[[#This Row],[MRI Brain %]]</f>
        <v>13405.279874566022</v>
      </c>
      <c r="N113" s="12">
        <f>Table1[[#This Row],[Brain 6+ Week Waiters]]/Table1[[#This Row],[Brain Patients Waiting List]]</f>
        <v>0.19828394215224351</v>
      </c>
      <c r="O113" s="19">
        <v>490163</v>
      </c>
      <c r="P113" s="14">
        <v>22.77</v>
      </c>
      <c r="Q113" s="30"/>
    </row>
    <row r="114" spans="1:17" x14ac:dyDescent="0.35">
      <c r="A114" s="6">
        <v>45505</v>
      </c>
      <c r="B114" s="7">
        <v>58382600</v>
      </c>
      <c r="C114" s="22">
        <v>396675</v>
      </c>
      <c r="D114" s="21">
        <v>83210</v>
      </c>
      <c r="E114" s="10">
        <f>Table1[[#This Row],[MRI Brain Scans (NHS)]]/Table1[[#This Row],[MRI Scans (NHS)]]</f>
        <v>0.20976870233818617</v>
      </c>
      <c r="F114" s="7">
        <f>Table1[[#This Row],[MRI Brain Scans (NHS)]]*5.8%</f>
        <v>4826.1799999999994</v>
      </c>
      <c r="G114" s="7">
        <f>Table1[[#This Row],[MRI Brain Scans (NHS)]]+Table1[[#This Row],[Private Brain Scans]]</f>
        <v>88036.18</v>
      </c>
      <c r="H114" s="21">
        <v>5746.2694000000001</v>
      </c>
      <c r="I114" s="7">
        <v>14.480699425613425</v>
      </c>
      <c r="J114" s="11">
        <v>290803</v>
      </c>
      <c r="K114" s="11">
        <f>Table1[[#This Row],[Patient Waiting List (MRI)]]*Table1[[#This Row],[MRI Brain %]]</f>
        <v>61001.367946051556</v>
      </c>
      <c r="L114" s="11">
        <v>60518</v>
      </c>
      <c r="M114" s="7">
        <f>Table1[[#This Row],[MRI 6+ Week Waiter]]*Table1[[#This Row],[MRI Brain %]]</f>
        <v>12694.78232810235</v>
      </c>
      <c r="N114" s="12">
        <f>Table1[[#This Row],[Brain 6+ Week Waiters]]/Table1[[#This Row],[Brain Patients Waiting List]]</f>
        <v>0.20810651884609166</v>
      </c>
      <c r="O114" s="19">
        <v>492901</v>
      </c>
      <c r="P114" s="14">
        <v>22.77</v>
      </c>
      <c r="Q114" s="30"/>
    </row>
    <row r="115" spans="1:17" x14ac:dyDescent="0.35">
      <c r="A115" s="6">
        <v>45536</v>
      </c>
      <c r="B115" s="7">
        <v>58382600</v>
      </c>
      <c r="C115" s="22">
        <v>395880</v>
      </c>
      <c r="D115" s="21">
        <v>84230</v>
      </c>
      <c r="E115" s="10">
        <f>Table1[[#This Row],[MRI Brain Scans (NHS)]]/Table1[[#This Row],[MRI Scans (NHS)]]</f>
        <v>0.21276649489744368</v>
      </c>
      <c r="F115" s="7">
        <f>Table1[[#This Row],[MRI Brain Scans (NHS)]]*5.8%</f>
        <v>4885.3399999999992</v>
      </c>
      <c r="G115" s="7">
        <f>Table1[[#This Row],[MRI Brain Scans (NHS)]]+Table1[[#This Row],[Private Brain Scans]]</f>
        <v>89115.34</v>
      </c>
      <c r="H115" s="21">
        <v>5852.4130999999998</v>
      </c>
      <c r="I115" s="7">
        <v>14.392353813848173</v>
      </c>
      <c r="J115" s="11">
        <v>297234</v>
      </c>
      <c r="K115" s="11">
        <f>Table1[[#This Row],[Patient Waiting List (MRI)]]*Table1[[#This Row],[MRI Brain %]]</f>
        <v>63241.436344346774</v>
      </c>
      <c r="L115" s="11">
        <v>54373</v>
      </c>
      <c r="M115" s="7">
        <f>Table1[[#This Row],[MRI 6+ Week Waiter]]*Table1[[#This Row],[MRI Brain %]]</f>
        <v>11568.752627058704</v>
      </c>
      <c r="N115" s="12">
        <f>Table1[[#This Row],[Brain 6+ Week Waiters]]/Table1[[#This Row],[Brain Patients Waiting List]]</f>
        <v>0.18292994744881136</v>
      </c>
      <c r="O115" s="19">
        <v>495488</v>
      </c>
      <c r="P115" s="14">
        <v>22.77</v>
      </c>
      <c r="Q115" s="30"/>
    </row>
    <row r="116" spans="1:17" x14ac:dyDescent="0.35">
      <c r="A116" s="6">
        <v>45566</v>
      </c>
      <c r="B116" s="7">
        <v>58382600</v>
      </c>
      <c r="C116" s="22">
        <v>423045</v>
      </c>
      <c r="D116" s="21">
        <v>90250</v>
      </c>
      <c r="E116" s="10">
        <f>Table1[[#This Row],[MRI Brain Scans (NHS)]]/Table1[[#This Row],[MRI Scans (NHS)]]</f>
        <v>0.21333427885922301</v>
      </c>
      <c r="F116" s="7">
        <f>Table1[[#This Row],[MRI Brain Scans (NHS)]]*5.8%</f>
        <v>5234.5</v>
      </c>
      <c r="G116" s="7">
        <f>Table1[[#This Row],[MRI Brain Scans (NHS)]]+Table1[[#This Row],[Private Brain Scans]]</f>
        <v>95484.5</v>
      </c>
      <c r="H116" s="21">
        <v>5853.3862799999997</v>
      </c>
      <c r="I116" s="7">
        <v>15.41842545201032</v>
      </c>
      <c r="J116" s="11">
        <v>311430</v>
      </c>
      <c r="K116" s="11">
        <f>Table1[[#This Row],[Patient Waiting List (MRI)]]*Table1[[#This Row],[MRI Brain %]]</f>
        <v>66438.694465127817</v>
      </c>
      <c r="L116" s="11">
        <v>50829</v>
      </c>
      <c r="M116" s="7">
        <f>Table1[[#This Row],[MRI 6+ Week Waiter]]*Table1[[#This Row],[MRI Brain %]]</f>
        <v>10843.568060135447</v>
      </c>
      <c r="N116" s="12">
        <f>Table1[[#This Row],[Brain 6+ Week Waiters]]/Table1[[#This Row],[Brain Patients Waiting List]]</f>
        <v>0.16321163664386862</v>
      </c>
      <c r="O116" s="19">
        <v>497233</v>
      </c>
      <c r="P116" s="14">
        <v>22.77</v>
      </c>
      <c r="Q116" s="30"/>
    </row>
    <row r="117" spans="1:17" x14ac:dyDescent="0.35">
      <c r="A117" s="6">
        <v>45597</v>
      </c>
      <c r="B117" s="7">
        <v>58382600</v>
      </c>
      <c r="C117" s="22">
        <v>410415</v>
      </c>
      <c r="D117" s="21">
        <v>88060</v>
      </c>
      <c r="E117" s="10">
        <f>Table1[[#This Row],[MRI Brain Scans (NHS)]]/Table1[[#This Row],[MRI Scans (NHS)]]</f>
        <v>0.21456330787130101</v>
      </c>
      <c r="F117" s="7">
        <f>Table1[[#This Row],[MRI Brain Scans (NHS)]]*5.8%</f>
        <v>5107.4799999999996</v>
      </c>
      <c r="G117" s="7">
        <f>Table1[[#This Row],[MRI Brain Scans (NHS)]]+Table1[[#This Row],[Private Brain Scans]]</f>
        <v>93167.48</v>
      </c>
      <c r="H117" s="21">
        <v>5851.1903400000001</v>
      </c>
      <c r="I117" s="7">
        <v>15.049929139717577</v>
      </c>
      <c r="J117" s="11">
        <v>320626</v>
      </c>
      <c r="K117" s="11">
        <f>Table1[[#This Row],[Patient Waiting List (MRI)]]*Table1[[#This Row],[MRI Brain %]]</f>
        <v>68794.575149543758</v>
      </c>
      <c r="L117" s="11">
        <v>51092</v>
      </c>
      <c r="M117" s="7">
        <f>Table1[[#This Row],[MRI 6+ Week Waiter]]*Table1[[#This Row],[MRI Brain %]]</f>
        <v>10962.468525760511</v>
      </c>
      <c r="N117" s="12">
        <f>Table1[[#This Row],[Brain 6+ Week Waiters]]/Table1[[#This Row],[Brain Patients Waiting List]]</f>
        <v>0.15935077005607778</v>
      </c>
      <c r="O117" s="19">
        <v>499068</v>
      </c>
      <c r="P117" s="14">
        <v>22.77</v>
      </c>
      <c r="Q117" s="30"/>
    </row>
    <row r="118" spans="1:17" x14ac:dyDescent="0.35">
      <c r="A118" s="6">
        <v>45627</v>
      </c>
      <c r="B118" s="7">
        <v>58382600</v>
      </c>
      <c r="C118" s="22">
        <v>381540</v>
      </c>
      <c r="D118" s="22">
        <v>81725</v>
      </c>
      <c r="E118" s="10">
        <f>Table1[[#This Row],[MRI Brain Scans (NHS)]]/Table1[[#This Row],[MRI Scans (NHS)]]</f>
        <v>0.21419772500917336</v>
      </c>
      <c r="F118" s="7">
        <f>Table1[[#This Row],[MRI Brain Scans (NHS)]]*5.8%</f>
        <v>4740.0499999999993</v>
      </c>
      <c r="G118" s="7">
        <f>Table1[[#This Row],[MRI Brain Scans (NHS)]]+Table1[[#This Row],[Private Brain Scans]]</f>
        <v>86465.05</v>
      </c>
      <c r="H118" s="21">
        <v>5844.18534</v>
      </c>
      <c r="I118" s="7">
        <v>14.031895846752869</v>
      </c>
      <c r="J118" s="11">
        <v>300969</v>
      </c>
      <c r="K118" s="11">
        <f>Table1[[#This Row],[Patient Waiting List (MRI)]]*Table1[[#This Row],[MRI Brain %]]</f>
        <v>64466.875098285898</v>
      </c>
      <c r="L118" s="11">
        <v>57001</v>
      </c>
      <c r="M118" s="7">
        <f>Table1[[#This Row],[MRI 6+ Week Waiter]]*Table1[[#This Row],[MRI Brain %]]</f>
        <v>12209.484523247891</v>
      </c>
      <c r="N118" s="12">
        <f>Table1[[#This Row],[Brain 6+ Week Waiters]]/Table1[[#This Row],[Brain Patients Waiting List]]</f>
        <v>0.18939159847027434</v>
      </c>
      <c r="O118" s="19">
        <v>498221</v>
      </c>
      <c r="P118" s="14">
        <v>22.77</v>
      </c>
      <c r="Q118" s="30"/>
    </row>
    <row r="119" spans="1:17" x14ac:dyDescent="0.35">
      <c r="A119" s="6">
        <v>45658</v>
      </c>
      <c r="B119" s="7">
        <v>58382600</v>
      </c>
      <c r="C119" s="22">
        <v>403375</v>
      </c>
      <c r="D119" s="22">
        <v>86465</v>
      </c>
      <c r="E119" s="10">
        <f>Table1[[#This Row],[MRI Brain Scans (NHS)]]/Table1[[#This Row],[MRI Scans (NHS)]]</f>
        <v>0.21435388906104741</v>
      </c>
      <c r="F119" s="7">
        <f>Table1[[#This Row],[MRI Brain Scans (NHS)]]*5.8%</f>
        <v>5014.9699999999993</v>
      </c>
      <c r="G119" s="7">
        <f>Table1[[#This Row],[MRI Brain Scans (NHS)]]+Table1[[#This Row],[Private Brain Scans]]</f>
        <v>91479.97</v>
      </c>
      <c r="H119" s="21">
        <v>5853.6081199999999</v>
      </c>
      <c r="I119" s="7">
        <v>14.99331663493729</v>
      </c>
      <c r="J119" s="11">
        <v>321906</v>
      </c>
      <c r="K119" s="11">
        <f>Table1[[#This Row],[Patient Waiting List (MRI)]]*Table1[[#This Row],[MRI Brain %]]</f>
        <v>69001.803012085526</v>
      </c>
      <c r="L119" s="11">
        <v>62470</v>
      </c>
      <c r="M119" s="7">
        <f>Table1[[#This Row],[MRI 6+ Week Waiter]]*Table1[[#This Row],[MRI Brain %]]</f>
        <v>13390.687449643632</v>
      </c>
      <c r="N119" s="12">
        <f>Table1[[#This Row],[Brain 6+ Week Waiters]]/Table1[[#This Row],[Brain Patients Waiting List]]</f>
        <v>0.19406286307182843</v>
      </c>
      <c r="O119" s="19">
        <v>495904</v>
      </c>
      <c r="P119" s="14">
        <v>22.77</v>
      </c>
      <c r="Q119" s="30"/>
    </row>
    <row r="120" spans="1:17" x14ac:dyDescent="0.35">
      <c r="A120" s="24">
        <v>45689</v>
      </c>
      <c r="B120" s="7">
        <v>58382600</v>
      </c>
      <c r="C120" s="22">
        <v>383285</v>
      </c>
      <c r="D120" s="22">
        <v>81740</v>
      </c>
      <c r="E120" s="10">
        <f>Table1[[#This Row],[MRI Brain Scans (NHS)]]/Table1[[#This Row],[MRI Scans (NHS)]]</f>
        <v>0.21326167212387648</v>
      </c>
      <c r="F120" s="7">
        <f>Table1[[#This Row],[MRI Brain Scans (NHS)]]*5.8%</f>
        <v>4740.92</v>
      </c>
      <c r="G120" s="7">
        <f>Table1[[#This Row],[MRI Brain Scans (NHS)]]+Table1[[#This Row],[Private Brain Scans]]</f>
        <v>86480.92</v>
      </c>
      <c r="H120" s="21">
        <v>5859.0989199999995</v>
      </c>
      <c r="I120" s="7">
        <v>14.115651763053014</v>
      </c>
      <c r="J120" s="11">
        <v>332576</v>
      </c>
      <c r="K120" s="11">
        <f>Table1[[#This Row],[Patient Waiting List (MRI)]]*Table1[[#This Row],[MRI Brain %]]</f>
        <v>70925.713868270337</v>
      </c>
      <c r="L120" s="11">
        <v>45974</v>
      </c>
      <c r="M120" s="7">
        <f>Table1[[#This Row],[MRI 6+ Week Waiter]]*Table1[[#This Row],[MRI Brain %]]</f>
        <v>9804.4921142230978</v>
      </c>
      <c r="N120" s="12">
        <f>Table1[[#This Row],[Brain 6+ Week Waiters]]/Table1[[#This Row],[Brain Patients Waiting List]]</f>
        <v>0.13823607235639374</v>
      </c>
      <c r="O120" s="19">
        <v>496471</v>
      </c>
      <c r="P120" s="14">
        <v>22.77</v>
      </c>
      <c r="Q120" s="30"/>
    </row>
    <row r="121" spans="1:17" x14ac:dyDescent="0.35">
      <c r="A121" s="25">
        <v>45717</v>
      </c>
      <c r="B121" s="7">
        <v>58382600</v>
      </c>
      <c r="C121" s="22">
        <v>375115</v>
      </c>
      <c r="D121" s="22">
        <v>78140</v>
      </c>
      <c r="E121" s="10">
        <f>Table1[[#This Row],[MRI Brain Scans (NHS)]]/Table1[[#This Row],[MRI Scans (NHS)]]</f>
        <v>0.20830945176812443</v>
      </c>
      <c r="F121" s="7">
        <f>Table1[[#This Row],[MRI Brain Scans (NHS)]]*5.8%</f>
        <v>4532.12</v>
      </c>
      <c r="G121" s="7">
        <f>Table1[[#This Row],[MRI Brain Scans (NHS)]]+Table1[[#This Row],[Private Brain Scans]]</f>
        <v>82672.12</v>
      </c>
      <c r="H121" s="21">
        <v>5844.6102199999996</v>
      </c>
      <c r="I121" s="7">
        <v>15.433877812984424</v>
      </c>
      <c r="J121" s="11">
        <v>331280</v>
      </c>
      <c r="K121" s="11">
        <f>Table1[[#This Row],[Patient Waiting List (MRI)]]*Table1[[#This Row],[MRI Brain %]]</f>
        <v>69008.755181744258</v>
      </c>
      <c r="L121" s="11">
        <v>45529</v>
      </c>
      <c r="M121" s="7">
        <f>Table1[[#This Row],[MRI 6+ Week Waiter]]*Table1[[#This Row],[MRI Brain %]]</f>
        <v>9484.1210295509372</v>
      </c>
      <c r="N121" s="12">
        <f>Table1[[#This Row],[Brain 6+ Week Waiters]]/Table1[[#This Row],[Brain Patients Waiting List]]</f>
        <v>0.13743359092006763</v>
      </c>
      <c r="O121" s="19">
        <v>498729</v>
      </c>
      <c r="P121" s="14">
        <v>22.77</v>
      </c>
      <c r="Q121" s="30"/>
    </row>
    <row r="122" spans="1:17" x14ac:dyDescent="0.35">
      <c r="M122" s="36"/>
    </row>
    <row r="123" spans="1:17" x14ac:dyDescent="0.35">
      <c r="M123" s="3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 Page</vt:lpstr>
      <vt:lpstr>Yearly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Min Aung</dc:creator>
  <cp:lastModifiedBy>Veena P</cp:lastModifiedBy>
  <dcterms:created xsi:type="dcterms:W3CDTF">2025-08-04T23:20:53Z</dcterms:created>
  <dcterms:modified xsi:type="dcterms:W3CDTF">2025-08-18T18:43:54Z</dcterms:modified>
</cp:coreProperties>
</file>