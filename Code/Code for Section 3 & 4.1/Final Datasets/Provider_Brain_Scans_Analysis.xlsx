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in Min Aung\Files\Queen Mary\Group Project\Code\"/>
    </mc:Choice>
  </mc:AlternateContent>
  <xr:revisionPtr revIDLastSave="0" documentId="13_ncr:1_{2B9B7B57-296F-47F0-B967-AA9DB1175D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itle &amp; Notes" sheetId="8" r:id="rId1"/>
    <sheet name="MRI (Brain)" sheetId="1" r:id="rId2"/>
    <sheet name="Private Sector" sheetId="2" r:id="rId3"/>
    <sheet name="Waiting Time" sheetId="3" r:id="rId4"/>
    <sheet name="Radiologist" sheetId="4" r:id="rId5"/>
    <sheet name="Scans per Radiologist" sheetId="5" r:id="rId6"/>
    <sheet name="Scan-to-wait ratio" sheetId="6" r:id="rId7"/>
    <sheet name="Demand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</calcChain>
</file>

<file path=xl/sharedStrings.xml><?xml version="1.0" encoding="utf-8"?>
<sst xmlns="http://schemas.openxmlformats.org/spreadsheetml/2006/main" count="1804" uniqueCount="370">
  <si>
    <t>Provider name</t>
  </si>
  <si>
    <t>Brain (MRI)</t>
  </si>
  <si>
    <t>Airedale NHS Foundation Trust</t>
  </si>
  <si>
    <t>Alder Hey Children's NHS Foundation Trust</t>
  </si>
  <si>
    <t>Alliance Medical</t>
  </si>
  <si>
    <t>Ashford and St Peter's Hospitals NHS Foundation Trust</t>
  </si>
  <si>
    <t>Barking, Havering and Redbridge University Hospitals NHS Trust</t>
  </si>
  <si>
    <t>Barnsley Hospital NHS Foundation Trust</t>
  </si>
  <si>
    <t>Barts Health NHS Trust</t>
  </si>
  <si>
    <t>Bedfordshire Hospitals NHS Foundation Trust</t>
  </si>
  <si>
    <t>Birmingham Women's and Children's NHS Foundation Trust</t>
  </si>
  <si>
    <t>Blackpool Teaching Hospitals NHS Foundation Trust</t>
  </si>
  <si>
    <t>Bolton NHS Foundation Trust</t>
  </si>
  <si>
    <t>Bradford Teaching Hospitals NHS Foundation Trust</t>
  </si>
  <si>
    <t>Buckinghamshire Healthcare NHS Trust</t>
  </si>
  <si>
    <t>Calderdale and Huddersfield NHS Foundation Trust</t>
  </si>
  <si>
    <t>Cambridge University Hospitals NHS Foundation Trust</t>
  </si>
  <si>
    <t>Chelsea and Westminster Hospital NHS Foundation Trust</t>
  </si>
  <si>
    <t>Chesterfield Royal Hospital NHS Foundation Trust</t>
  </si>
  <si>
    <t>Circle Health Group Limited</t>
  </si>
  <si>
    <t>Cobalt Health</t>
  </si>
  <si>
    <t>Countess of Chester Hospital NHS Foundation Trust</t>
  </si>
  <si>
    <t>County Durham and Darlington NHS Foundation Trust</t>
  </si>
  <si>
    <t>Croydon Health Services NHS Trust</t>
  </si>
  <si>
    <t>Dartford and Gravesham NHS Trust</t>
  </si>
  <si>
    <t>Doncaster and Bassetlaw Teaching Hospitals NHS Foundation Trust</t>
  </si>
  <si>
    <t>Dorset County Hospital NHS Foundation Trust</t>
  </si>
  <si>
    <t>East Cheshire NHS Trust</t>
  </si>
  <si>
    <t>East Kent Hospitals University NHS Foundation Trust</t>
  </si>
  <si>
    <t>East Lancashire Hospitals NHS Trust</t>
  </si>
  <si>
    <t>East Suffolk and North Essex NHS Foundation Trust</t>
  </si>
  <si>
    <t>East Sussex Healthcare NHS Trust</t>
  </si>
  <si>
    <t>East and North Hertfordshire NHS Trust</t>
  </si>
  <si>
    <t>Epsom and St Helier University Hospitals NHS Trust</t>
  </si>
  <si>
    <t>Frimley Health NHS Foundation Trust</t>
  </si>
  <si>
    <t>Gateshead Health NHS Foundation Trust</t>
  </si>
  <si>
    <t>George Eliot Hospital NHS Trust</t>
  </si>
  <si>
    <t>Gloucestershire Hospitals NHS Foundation Trust</t>
  </si>
  <si>
    <t>Great Ormond Street Hospital for Children NHS Foundation Trust</t>
  </si>
  <si>
    <t>Great Western Hospitals NHS Foundation Trust</t>
  </si>
  <si>
    <t>Guy's and St Thomas' NHS Foundation Trust</t>
  </si>
  <si>
    <t>Hampshire Hospitals NHS Foundation Trust</t>
  </si>
  <si>
    <t>Hampshire and Isle of Wight Healthcare NHS Foundation Trust</t>
  </si>
  <si>
    <t>Harrogate and District NHS Foundation Trust</t>
  </si>
  <si>
    <t>Healthshare Diagnostics</t>
  </si>
  <si>
    <t>Homerton Healthcare NHS Foundation Trust</t>
  </si>
  <si>
    <t>Hull University Teaching Hospitals NHS Trust</t>
  </si>
  <si>
    <t>Imperial College Healthcare NHS Trust</t>
  </si>
  <si>
    <t>Inhealth Limited</t>
  </si>
  <si>
    <t>Isle of Wight NHS Trust</t>
  </si>
  <si>
    <t>James Paget University Hospitals NHS Foundation Trust</t>
  </si>
  <si>
    <t>Kettering General Hospital NHS Foundation Trust</t>
  </si>
  <si>
    <t>King's College Hospital NHS Foundation Trust</t>
  </si>
  <si>
    <t>Kingston and Richmond NHS Foundation Trust</t>
  </si>
  <si>
    <t>Lancashire Teaching Hospitals NHS Foundation Trust</t>
  </si>
  <si>
    <t>Leeds Teaching Hospitals NHS Trust</t>
  </si>
  <si>
    <t>Lewisham and Greenwich NHS Trust</t>
  </si>
  <si>
    <t>Liverpool Heart and Chest Hospital NHS Foundation Trust</t>
  </si>
  <si>
    <t>Liverpool University Hospitals NHS Foundation Trust</t>
  </si>
  <si>
    <t>London North West University Healthcare NHS Trust</t>
  </si>
  <si>
    <t>Maidstone and Tunbridge Wells NHS Trust</t>
  </si>
  <si>
    <t>Manchester University NHS Foundation Trust</t>
  </si>
  <si>
    <t>Medway NHS Foundation Trust</t>
  </si>
  <si>
    <t>Mersey and West Lancashire Teaching Hospitals NHS Trust</t>
  </si>
  <si>
    <t>Mid Cheshire Hospitals NHS Foundation Trust</t>
  </si>
  <si>
    <t>Mid Yorkshire Teaching NHS Trust</t>
  </si>
  <si>
    <t>Mid and South Essex NHS Foundation Trust</t>
  </si>
  <si>
    <t>Milton Keynes University Hospital NHS Foundation Trust</t>
  </si>
  <si>
    <t>Moorfields Eye Hospital NHS Foundation Trust</t>
  </si>
  <si>
    <t>Norfolk and Norwich University Hospitals NHS Foundation Trust</t>
  </si>
  <si>
    <t>North Bristol NHS Trust</t>
  </si>
  <si>
    <t>North Middlesex University Hospital NHS Trust</t>
  </si>
  <si>
    <t>North Tees and Hartlepool NHS Foundation Trust</t>
  </si>
  <si>
    <t>North West Anglia NHS Foundation Trust</t>
  </si>
  <si>
    <t>Northampton General Hospital NHS Trust</t>
  </si>
  <si>
    <t>Northern Care Alliance NHS Foundation Trust</t>
  </si>
  <si>
    <t>Northern Lincolnshire and Goole NHS Foundation Trust</t>
  </si>
  <si>
    <t>Northumbria Healthcare NHS Foundation Trust</t>
  </si>
  <si>
    <t>Nottingham University Hospitals NHS Trust</t>
  </si>
  <si>
    <t>Nuffield Health</t>
  </si>
  <si>
    <t>Oxford University Hospitals NHS Foundation Trust</t>
  </si>
  <si>
    <t>Phoenix Hospital Group</t>
  </si>
  <si>
    <t>Portsmouth Hospitals University NHS Trust</t>
  </si>
  <si>
    <t>Practice Plus Group Holdings</t>
  </si>
  <si>
    <t>Queen Victoria Hospital NHS Foundation Trust</t>
  </si>
  <si>
    <t>Ramsay Health Care UK Operations Limited</t>
  </si>
  <si>
    <t>Royal Berkshire NHS Foundation Trust</t>
  </si>
  <si>
    <t>Royal Cornwall Hospitals NHS Trust</t>
  </si>
  <si>
    <t>Royal Devon University Healthcare NHS Foundation Trust</t>
  </si>
  <si>
    <t>Royal Free London NHS Foundation Trust</t>
  </si>
  <si>
    <t>Royal National Orthopaedic Hospital NHS Trust</t>
  </si>
  <si>
    <t>Royal Papworth Hospital NHS Foundation Trust</t>
  </si>
  <si>
    <t>Royal Surrey County Hospital NHS Foundation Trust</t>
  </si>
  <si>
    <t>Royal United Hospitals Bath NHS Foundation Trust</t>
  </si>
  <si>
    <t>Salisbury NHS Foundation Trust</t>
  </si>
  <si>
    <t>Sandwell and West Birmingham Hospitals NHS Trust</t>
  </si>
  <si>
    <t>Sheffield Children's NHS Foundation Trust</t>
  </si>
  <si>
    <t>Sheffield Teaching Hospitals NHS Foundation Trust</t>
  </si>
  <si>
    <t>Sherwood Forest Hospitals NHS Foundation Trust</t>
  </si>
  <si>
    <t>Somerset NHS Foundation Trust</t>
  </si>
  <si>
    <t>South London and Maudsley NHS Foundation Trust</t>
  </si>
  <si>
    <t>South Tees Hospitals NHS Foundation Trust</t>
  </si>
  <si>
    <t>South Tyneside and Sunderland NHS Foundation Trust</t>
  </si>
  <si>
    <t>South Warwickshire University NHS Foundation Trust</t>
  </si>
  <si>
    <t>Spire Healthcare</t>
  </si>
  <si>
    <t>St George's University Hospitals NHS Foundation Trust</t>
  </si>
  <si>
    <t>Stockport NHS Foundation Trust</t>
  </si>
  <si>
    <t>Surrey and Sussex Healthcare NHS Trust</t>
  </si>
  <si>
    <t>Tameside and Glossop Integrated Care NHS Foundation Trust</t>
  </si>
  <si>
    <t>The Christie NHS Foundation Trust</t>
  </si>
  <si>
    <t>The Clatterbridge Cancer Centre NHS Foundation Trust</t>
  </si>
  <si>
    <t>The Dudley Group NHS Foundation Trust</t>
  </si>
  <si>
    <t>The Hillingdon Hospitals NHS Foundation Trust</t>
  </si>
  <si>
    <t>The Newcastle Upon Tyne Hospitals NHS Foundation Trust</t>
  </si>
  <si>
    <t>The Princess Alexandra Hospital NHS Trust</t>
  </si>
  <si>
    <t>The Queen Elizabeth Hospital, King's Lynn, NHS Foundation Trust</t>
  </si>
  <si>
    <t>The Robert Jones and Agnes Hunt Orthopaedic Hospital NHS Foundation Trust</t>
  </si>
  <si>
    <t>The Rotherham NHS Foundation Trust</t>
  </si>
  <si>
    <t>The Royal Marsden NHS Foundation Trust</t>
  </si>
  <si>
    <t>The Royal Orthopaedic Hospital NHS Foundation Trust</t>
  </si>
  <si>
    <t>The Royal Wolverhampton NHS Trust</t>
  </si>
  <si>
    <t>The Shrewsbury and Telford Hospital NHS Trust</t>
  </si>
  <si>
    <t>The Walton Centre NHS Foundation Trust</t>
  </si>
  <si>
    <t>Torbay and South Devon NHS Foundation Trust</t>
  </si>
  <si>
    <t>United Lincolnshire Teaching Hospitals NHS Trust</t>
  </si>
  <si>
    <t>University College London Hospitals NHS Foundation Trust</t>
  </si>
  <si>
    <t>University Hospital Southampton NHS Foundation Trust</t>
  </si>
  <si>
    <t>University Hospitals Birmingham NHS Foundation Trust</t>
  </si>
  <si>
    <t>University Hospitals Bristol and Weston NHS Foundation Trust</t>
  </si>
  <si>
    <t>University Hospitals Coventry and Warwickshire NHS Trust</t>
  </si>
  <si>
    <t>University Hospitals Dorset NHS Foundation Trust</t>
  </si>
  <si>
    <t>University Hospitals Plymouth NHS Trust</t>
  </si>
  <si>
    <t>University Hospitals Sussex NHS Foundation Trust</t>
  </si>
  <si>
    <t>University Hospitals of Derby and Burton NHS Foundation Trust</t>
  </si>
  <si>
    <t>University Hospitals of Leicester NHS Trust</t>
  </si>
  <si>
    <t>University Hospitals of Morecambe Bay NHS Foundation Trust</t>
  </si>
  <si>
    <t>University Hospitals of North Midlands NHS Trust</t>
  </si>
  <si>
    <t>Walsall Healthcare NHS Trust</t>
  </si>
  <si>
    <t>Warrington and Halton Teaching Hospitals NHS Foundation Trust</t>
  </si>
  <si>
    <t>West Hertfordshire Teaching Hospitals NHS Trust</t>
  </si>
  <si>
    <t>West Suffolk NHS Foundation Trust</t>
  </si>
  <si>
    <t>Whittington Health NHS Trust</t>
  </si>
  <si>
    <t>Wirral University Teaching Hospital NHS Foundation Trust</t>
  </si>
  <si>
    <t>Worcestershire Acute Hospitals NHS Trust</t>
  </si>
  <si>
    <t>Wrightington, Wigan and Leigh NHS Foundation Trust</t>
  </si>
  <si>
    <t>Wye Valley NHS Trust</t>
  </si>
  <si>
    <t>York and Scarborough Teaching Hospitals NHS Foundation Trust</t>
  </si>
  <si>
    <t>Total</t>
  </si>
  <si>
    <t>Regional Team Name</t>
  </si>
  <si>
    <t>Provider</t>
  </si>
  <si>
    <t>Brain MRI Waiting</t>
  </si>
  <si>
    <t>Brain MRI 6+ Week Wait</t>
  </si>
  <si>
    <t>Brain MRI % 6+ Weeks</t>
  </si>
  <si>
    <t>North East and Yorkshire Commissioning Region</t>
  </si>
  <si>
    <t>South East Commissioning Region</t>
  </si>
  <si>
    <t>London Commissioning Region</t>
  </si>
  <si>
    <t>East of England Commissioning Region</t>
  </si>
  <si>
    <t>Midlands Commissioning Region</t>
  </si>
  <si>
    <t>Blackheath Hospital</t>
  </si>
  <si>
    <t>North West Commissioning Region</t>
  </si>
  <si>
    <t>Blakelands Hospital</t>
  </si>
  <si>
    <t>Boston West Hospital</t>
  </si>
  <si>
    <t>Buckshaw Hospital</t>
  </si>
  <si>
    <t>Clementine Churchill Hospital</t>
  </si>
  <si>
    <t>Clifton Park Hospital</t>
  </si>
  <si>
    <t>South West Commissioning Region</t>
  </si>
  <si>
    <t>Diagnostic Healthcare Ltd</t>
  </si>
  <si>
    <t>Euxton Hall Hospital</t>
  </si>
  <si>
    <t>Fitzwilliam Hospital</t>
  </si>
  <si>
    <t>Fulwood Hall Hospital</t>
  </si>
  <si>
    <t>Glendon Wood Hospital</t>
  </si>
  <si>
    <t>Kims Hospital (Newnham Court)</t>
  </si>
  <si>
    <t>Lancashire &amp; South Cumbria NHS Foundation Trust</t>
  </si>
  <si>
    <t>London Independent Hospital</t>
  </si>
  <si>
    <t>Medefer</t>
  </si>
  <si>
    <t>Medical Imaging Partnership Ltd</t>
  </si>
  <si>
    <t>Meriden Hospital</t>
  </si>
  <si>
    <t>Mid &amp; South Buckinghamshire Diagnostic NHS Centre</t>
  </si>
  <si>
    <t>New Hall Hospital</t>
  </si>
  <si>
    <t>North Cumbria Integrated Care NHS Foundation Trust</t>
  </si>
  <si>
    <t>North Downs Hospital</t>
  </si>
  <si>
    <t>Nuffield Health, Derby Hospital</t>
  </si>
  <si>
    <t>Nuffield Health, Leeds Hospital</t>
  </si>
  <si>
    <t>Nuffield Health, Leicester Hospital</t>
  </si>
  <si>
    <t>Nuffield Health, Tees Hospital</t>
  </si>
  <si>
    <t>Nuffield Health, York Hospital</t>
  </si>
  <si>
    <t>Oaklands Hospital</t>
  </si>
  <si>
    <t>Omnes Healthcare Ltd</t>
  </si>
  <si>
    <t>Park Hill Hospital</t>
  </si>
  <si>
    <t>Pinehill Hospital</t>
  </si>
  <si>
    <t>Pioneer Healthcare Limited</t>
  </si>
  <si>
    <t>Portsmouth Hospitals University National Health Service Trust</t>
  </si>
  <si>
    <t>Practice Plus Group Hospital - Barlborough</t>
  </si>
  <si>
    <t>Practice Plus Group Hospital - Emersons Green</t>
  </si>
  <si>
    <t>Practice Plus Group Hospital - Plymouth</t>
  </si>
  <si>
    <t>Practice Plus Group Hospital - Southampton</t>
  </si>
  <si>
    <t>Practice Plus Group Surgical Centre - Devizes</t>
  </si>
  <si>
    <t>Renacres Hospital</t>
  </si>
  <si>
    <t>Rivers Hospital</t>
  </si>
  <si>
    <t>Rowley Hall Hospital</t>
  </si>
  <si>
    <t>Sarum Road Hospital</t>
  </si>
  <si>
    <t>Spire Alexandra Hospital</t>
  </si>
  <si>
    <t>Spire Bristol Hospital</t>
  </si>
  <si>
    <t>Spire Bushey Hospital</t>
  </si>
  <si>
    <t>Spire Cambridge Lea Hospital</t>
  </si>
  <si>
    <t>Spire Cheshire Hospital</t>
  </si>
  <si>
    <t>Spire Fylde Coast Hospital</t>
  </si>
  <si>
    <t>Spire Gatwick Park Hospital</t>
  </si>
  <si>
    <t>Spire Harpenden Hospital</t>
  </si>
  <si>
    <t>Spire Hartswood Hospital</t>
  </si>
  <si>
    <t>Spire Hull and East Riding Hospital</t>
  </si>
  <si>
    <t>Spire Leeds Hospital</t>
  </si>
  <si>
    <t>Spire Leicester Hospital</t>
  </si>
  <si>
    <t>Spire Liverpool Hospital</t>
  </si>
  <si>
    <t>Spire London East</t>
  </si>
  <si>
    <t>Spire Methley Park Hospital</t>
  </si>
  <si>
    <t>Spire Norwich Hospital</t>
  </si>
  <si>
    <t>Spire Parkway Hospital</t>
  </si>
  <si>
    <t>Spire Portsmouth Hospital</t>
  </si>
  <si>
    <t>Spire Regency Hospital</t>
  </si>
  <si>
    <t>Spire South Bank Hospital</t>
  </si>
  <si>
    <t>Spire St Anthony's Hospital</t>
  </si>
  <si>
    <t>Spire Washington Hospital</t>
  </si>
  <si>
    <t>Spire Wellesley Hospital</t>
  </si>
  <si>
    <t>Springfield Hospital</t>
  </si>
  <si>
    <t>Stourside Hospital</t>
  </si>
  <si>
    <t>Sulis Hospital Bath (Foxcote Avenue)</t>
  </si>
  <si>
    <t>Sussex Community NHS Foundation Trust</t>
  </si>
  <si>
    <t>Tees Valley Hospital</t>
  </si>
  <si>
    <t>The Berkshire Independent Hospital</t>
  </si>
  <si>
    <t>The Cherwell Hospital</t>
  </si>
  <si>
    <t>The Horder Centre - St Johns Road</t>
  </si>
  <si>
    <t>The Yorkshire Clinic</t>
  </si>
  <si>
    <t>Thornbury Hospital</t>
  </si>
  <si>
    <t>Tyneside Surgical Services Ltd</t>
  </si>
  <si>
    <t>West Midlands Hospital</t>
  </si>
  <si>
    <t>Winfield Hospital</t>
  </si>
  <si>
    <t>Woodland Hospital</t>
  </si>
  <si>
    <t>Woodthorpe Hospital</t>
  </si>
  <si>
    <t>NHS England region name</t>
  </si>
  <si>
    <t>Organisation name</t>
  </si>
  <si>
    <t>HCHS Doctors</t>
  </si>
  <si>
    <t>Estimated Radiologists</t>
  </si>
  <si>
    <t>North East and Yorkshire</t>
  </si>
  <si>
    <t>North West</t>
  </si>
  <si>
    <t>South East</t>
  </si>
  <si>
    <t>South West</t>
  </si>
  <si>
    <t>Avon and Wiltshire Mental Health Partnership NHS Trust</t>
  </si>
  <si>
    <t>London</t>
  </si>
  <si>
    <t>East of England</t>
  </si>
  <si>
    <t>Berkshire Healthcare NHS Foundation Trust</t>
  </si>
  <si>
    <t>Midlands</t>
  </si>
  <si>
    <t>Birmingham and Solihull Mental Health NHS Foundation Trust</t>
  </si>
  <si>
    <t>Birmingham Community Healthcare NHS Foundation Trust</t>
  </si>
  <si>
    <t>Black Country Healthcare NHS Foundation Trust</t>
  </si>
  <si>
    <t>Bradford District Care NHS Foundation Trust</t>
  </si>
  <si>
    <t>Bridgewater Community Healthcare NHS Foundation Trust</t>
  </si>
  <si>
    <t>Cambridgeshire and Peterborough NHS Foundation Trust</t>
  </si>
  <si>
    <t>Cambridgeshire Community Services NHS Trust</t>
  </si>
  <si>
    <t>Central and North West London NHS Foundation Trust</t>
  </si>
  <si>
    <t>Central London Community Healthcare NHS Trust</t>
  </si>
  <si>
    <t>Cheshire and Wirral Partnership NHS Foundation Trust</t>
  </si>
  <si>
    <t>Christie NHS Foundation Trust</t>
  </si>
  <si>
    <t>Clatterbridge Cancer Centre NHS Foundation Trust</t>
  </si>
  <si>
    <t>Cornwall Partnership NHS Foundation Trust</t>
  </si>
  <si>
    <t>Coventry and Warwickshire Partnership NHS Trust</t>
  </si>
  <si>
    <t>Cumbria, Northumberland, Tyne and Wear NHS Foundation Trust</t>
  </si>
  <si>
    <t>Derbyshire Community Health Services NHS Foundation Trust</t>
  </si>
  <si>
    <t>Derbyshire Healthcare NHS Foundation Trust</t>
  </si>
  <si>
    <t>Devon Partnership NHS Trust</t>
  </si>
  <si>
    <t>Dorset Healthcare University NHS Foundation Trust</t>
  </si>
  <si>
    <t>Dudley Group NHS Foundation Trust</t>
  </si>
  <si>
    <t>East London NHS Foundation Trust</t>
  </si>
  <si>
    <t>East of England Ambulance Service NHS Trust</t>
  </si>
  <si>
    <t>Essex Partnership University NHS Foundation Trust</t>
  </si>
  <si>
    <t>Gloucestershire Health and Care NHS Foundation Trust</t>
  </si>
  <si>
    <t>Greater Manchester Mental Health NHS Foundation Trust</t>
  </si>
  <si>
    <t>Herefordshire and Worcestershire Health and Care NHS Trust</t>
  </si>
  <si>
    <t>Hertfordshire Community NHS Trust</t>
  </si>
  <si>
    <t>Hertfordshire Partnership University NHS Foundation Trust</t>
  </si>
  <si>
    <t>Hillingdon Hospitals NHS Foundation Trust</t>
  </si>
  <si>
    <t>Humber Teaching NHS Foundation Trust</t>
  </si>
  <si>
    <t>Kent and Medway NHS and Social Care Partnership Trust</t>
  </si>
  <si>
    <t>Kent Community Health NHS Foundation Trust</t>
  </si>
  <si>
    <t>Lancashire and South Cumbria NHS Foundation Trust</t>
  </si>
  <si>
    <t>Leeds and York Partnership NHS Foundation Trust</t>
  </si>
  <si>
    <t>Leeds Community Healthcare NHS Trust</t>
  </si>
  <si>
    <t>Leicestershire Partnership NHS Trust</t>
  </si>
  <si>
    <t>Lincolnshire Community Health Services NHS Trust</t>
  </si>
  <si>
    <t>Lincolnshire Partnership NHS Foundation Trust</t>
  </si>
  <si>
    <t>Liverpool Women's NHS Foundation Trust</t>
  </si>
  <si>
    <t>London Ambulance Service NHS Trust</t>
  </si>
  <si>
    <t>Mersey Care NHS Foundation Trust</t>
  </si>
  <si>
    <t>Midlands Partnership University NHS Foundation Trust</t>
  </si>
  <si>
    <t>Newcastle Upon Tyne Hospitals NHS Foundation Trust</t>
  </si>
  <si>
    <t>Norfolk and Suffolk NHS Foundation Trust</t>
  </si>
  <si>
    <t>Norfolk Community Health and Care NHS Trust</t>
  </si>
  <si>
    <t>North East Ambulance Service NHS Foundation Trust</t>
  </si>
  <si>
    <t>North East London NHS Foundation Trust</t>
  </si>
  <si>
    <t>North London NHS Foundation Trust</t>
  </si>
  <si>
    <t>North Staffordshire Combined Healthcare NHS Trust</t>
  </si>
  <si>
    <t>North West Ambulance Service NHS Trust</t>
  </si>
  <si>
    <t>Northamptonshire Healthcare NHS Foundation Trust</t>
  </si>
  <si>
    <t>Nottinghamshire Healthcare NHS Foundation Trust</t>
  </si>
  <si>
    <t>Oxford Health NHS Foundation Trust</t>
  </si>
  <si>
    <t>Oxleas NHS Foundation Trust</t>
  </si>
  <si>
    <t>Pennine Care NHS Foundation Trust</t>
  </si>
  <si>
    <t>Princess Alexandra Hospital NHS Trust</t>
  </si>
  <si>
    <t>Queen Elizabeth Hospital King's Lynn NHS Foundation Trust</t>
  </si>
  <si>
    <t>Robert Jones and Agnes Hunt Orthopaedic Hospital NHS Foundation Trust</t>
  </si>
  <si>
    <t>Rotherham Doncaster and South Humber NHS Foundation Trust</t>
  </si>
  <si>
    <t>Rotherham NHS Foundation Trust</t>
  </si>
  <si>
    <t>Royal Marsden NHS Foundation Trust</t>
  </si>
  <si>
    <t>Royal Orthopaedic Hospital NHS Foundation Trust</t>
  </si>
  <si>
    <t>Royal Wolverhampton NHS Trust</t>
  </si>
  <si>
    <t>Sheffield Health and Social Care NHS Foundation Trust</t>
  </si>
  <si>
    <t>Shrewsbury and Telford Hospital NHS Trust</t>
  </si>
  <si>
    <t>Shropshire Community Health NHS Trust</t>
  </si>
  <si>
    <t>South Central Ambulance Service NHS Foundation Trust</t>
  </si>
  <si>
    <t>South East Coast Ambulance Service NHS Foundation Trust</t>
  </si>
  <si>
    <t>South West London and St George's Mental Health NHS Trust</t>
  </si>
  <si>
    <t>South West Yorkshire Partnership NHS Foundation Trust</t>
  </si>
  <si>
    <t>South Western Ambulance Service NHS Foundation Trust</t>
  </si>
  <si>
    <t>Surrey and Borders Partnership NHS Foundation Trust</t>
  </si>
  <si>
    <t>Sussex Partnership NHS Foundation Trust</t>
  </si>
  <si>
    <t>Tavistock and Portman NHS Foundation Trust</t>
  </si>
  <si>
    <t>Tees, Esk and Wear Valleys NHS Foundation Trust</t>
  </si>
  <si>
    <t>Walton Centre NHS Foundation Trust</t>
  </si>
  <si>
    <t>West London NHS Trust</t>
  </si>
  <si>
    <t>West Midlands Ambulance Service University NHS Foundation Trust</t>
  </si>
  <si>
    <t>Wirral Community Health and Care NHS Foundation Trust</t>
  </si>
  <si>
    <t>Yorkshire Ambulance Service NHS Trust</t>
  </si>
  <si>
    <t>NHS Trust</t>
  </si>
  <si>
    <t>Scans per Radiologist (Annual)</t>
  </si>
  <si>
    <t>Scans per Radiologist (Monthly)</t>
  </si>
  <si>
    <t>Scans per Radiologist (Daily)</t>
  </si>
  <si>
    <t>Barking Havering and Redbridge University Hospitals NHS Trust</t>
  </si>
  <si>
    <t>Wrightington Wigan and Leigh NHS Foundation Trust</t>
  </si>
  <si>
    <t>Scan-to-6+Week-Wait Ratio</t>
  </si>
  <si>
    <t>Efficiency Rank</t>
  </si>
  <si>
    <t>Workload Rank</t>
  </si>
  <si>
    <t>Demand Score</t>
  </si>
  <si>
    <t>Trust-level Brain Scan Dataset (2024/25)</t>
  </si>
  <si>
    <t>(April 2024 - March 2025)</t>
  </si>
  <si>
    <t>Purpose</t>
  </si>
  <si>
    <t>This dataset was constructed to support adoption scenario modelling and provider-level analysis of MRI brain scans in England for the most recent complete financial year (April 2024 – March 2025). It integrates scan activity, workforce capacity, and waiting time performance into a unified dataset at NHS Trust level.</t>
  </si>
  <si>
    <t>Tables</t>
  </si>
  <si>
    <r>
      <t>MRI (Brain)</t>
    </r>
    <r>
      <rPr>
        <sz val="11"/>
        <color theme="1"/>
        <rFont val="Aptos Display"/>
        <family val="2"/>
      </rPr>
      <t xml:space="preserve"> – Annual provider-level brain MRI volumes.</t>
    </r>
  </si>
  <si>
    <r>
      <rPr>
        <b/>
        <sz val="11"/>
        <color theme="1"/>
        <rFont val="Aptos Display"/>
        <family val="2"/>
      </rPr>
      <t>Private Providers</t>
    </r>
    <r>
      <rPr>
        <sz val="11"/>
        <color theme="1"/>
        <rFont val="Aptos Display"/>
        <family val="2"/>
      </rPr>
      <t xml:space="preserve"> – Brain MRI scans performed by private providers on behalf of the NHS (outsourced activity).</t>
    </r>
  </si>
  <si>
    <r>
      <t>Waiting Time</t>
    </r>
    <r>
      <rPr>
        <sz val="11"/>
        <color theme="1"/>
        <rFont val="Aptos Display"/>
        <family val="2"/>
      </rPr>
      <t xml:space="preserve"> – Brain MRI waiting list and &gt;6-week wait metrics (derived using brain % of total MRI).</t>
    </r>
  </si>
  <si>
    <r>
      <t>Radiologist</t>
    </r>
    <r>
      <rPr>
        <sz val="11"/>
        <color theme="1"/>
        <rFont val="Aptos Display"/>
        <family val="2"/>
      </rPr>
      <t xml:space="preserve"> – Estimated Trust-level radiologist workforce (FTE).</t>
    </r>
  </si>
  <si>
    <r>
      <t>Scans per Radiologist</t>
    </r>
    <r>
      <rPr>
        <sz val="11"/>
        <color theme="1"/>
        <rFont val="Aptos Display"/>
        <family val="2"/>
      </rPr>
      <t xml:space="preserve"> – Derived workload indicators (annual, monthly, daily).</t>
    </r>
  </si>
  <si>
    <r>
      <t>Scan-to-Wait Ratio</t>
    </r>
    <r>
      <rPr>
        <sz val="11"/>
        <color theme="1"/>
        <rFont val="Aptos Display"/>
        <family val="2"/>
      </rPr>
      <t xml:space="preserve"> – Derived backlog indicator (scans ÷ 6+ week waiters).</t>
    </r>
  </si>
  <si>
    <r>
      <t>Demand</t>
    </r>
    <r>
      <rPr>
        <sz val="11"/>
        <color theme="1"/>
        <rFont val="Aptos Display"/>
        <family val="2"/>
      </rPr>
      <t xml:space="preserve"> – Final merged dataset containing KPIs and demand scores for 122 NHS Trusts.</t>
    </r>
  </si>
  <si>
    <t>Data Sources</t>
  </si>
  <si>
    <r>
      <t xml:space="preserve">NHS Diagnostic Imaging Dataset (DID) – </t>
    </r>
    <r>
      <rPr>
        <b/>
        <i/>
        <sz val="11"/>
        <color theme="1"/>
        <rFont val="Aptos Display"/>
        <family val="2"/>
      </rPr>
      <t>Modality and Body Site</t>
    </r>
  </si>
  <si>
    <t>https://www.england.nhs.uk/statistics/statistical-work-areas/diagnostic-imaging-dataset/</t>
  </si>
  <si>
    <t>Table-1-2024-25-Modality-Provider-Counts-2025-06-19-XLSX-199KB.xlsx</t>
  </si>
  <si>
    <t>Table-4-2024-25-Bodysite-Provider-Counts-2025-06-19-XLSX-221KB.xlsx</t>
  </si>
  <si>
    <t>NHS Monthly Diagnostics Waiting Times and Activity (DWTA)</t>
  </si>
  <si>
    <t>https://www.england.nhs.uk/statistics/statistical-work-areas/diagnostics-waiting-times-and-activity/monthly-diagnostics-waiting-times-and-activity/</t>
  </si>
  <si>
    <t>NHS Workforce Statistics</t>
  </si>
  <si>
    <t>https://digital.nhs.uk/data-and-information/publications/statistical/nhs-workforce-statistics</t>
  </si>
  <si>
    <t>NHS Workforce Statistics, March 2025 Doctors by Grade and Specialty.xlsx</t>
  </si>
  <si>
    <t>NHS Workforce Statistics, March 2025 England and Organisation.xlsx</t>
  </si>
  <si>
    <t>Limitations</t>
  </si>
  <si>
    <t>Outsourced brain MRI activity from private hospitals is reported, but excluded from demand score analysis due to lack of workforce data.</t>
  </si>
  <si>
    <t>Brain-specific waiting list metrics not directly available; derived using national MRI brain proportion.</t>
  </si>
  <si>
    <t>Workforce estimation assumes radiologist distribution proportional to all HCHS doctors at Trust level.</t>
  </si>
  <si>
    <t>Monthly-Diagnostics-Web-File-Provider-March-2025_SW40K.xls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</si>
</sst>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6"/>
      <color theme="3"/>
      <name val="Aptos Display"/>
      <family val="2"/>
    </font>
    <font>
      <sz val="11"/>
      <color theme="1"/>
      <name val="Aptos Display"/>
      <family val="2"/>
    </font>
    <font>
      <sz val="14"/>
      <color theme="1"/>
      <name val="Aptos Display"/>
      <family val="2"/>
    </font>
    <font>
      <b/>
      <sz val="14"/>
      <color theme="1"/>
      <name val="Aptos Display"/>
      <family val="2"/>
    </font>
    <font>
      <b/>
      <sz val="11"/>
      <color theme="1"/>
      <name val="Aptos Display"/>
      <family val="2"/>
    </font>
    <font>
      <b/>
      <i/>
      <sz val="11"/>
      <color theme="1"/>
      <name val="Aptos Display"/>
      <family val="2"/>
    </font>
    <font>
      <u/>
      <sz val="11"/>
      <color theme="10"/>
      <name val="Aptos Display"/>
      <family val="2"/>
    </font>
    <font>
      <u/>
      <sz val="11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/>
    <xf numFmtId="0" fontId="2" fillId="2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2" xfId="0" applyFont="1" applyBorder="1" applyAlignment="1">
      <alignment horizontal="left" vertical="top"/>
    </xf>
    <xf numFmtId="2" fontId="0" fillId="0" borderId="0" xfId="0" applyNumberFormat="1"/>
    <xf numFmtId="1" fontId="0" fillId="0" borderId="0" xfId="0" applyNumberFormat="1"/>
    <xf numFmtId="0" fontId="2" fillId="2" borderId="3" xfId="2" applyBorder="1" applyAlignment="1">
      <alignment horizontal="center" vertical="top"/>
    </xf>
    <xf numFmtId="1" fontId="2" fillId="2" borderId="4" xfId="2" applyNumberFormat="1" applyBorder="1" applyAlignment="1">
      <alignment horizontal="center" vertical="top"/>
    </xf>
    <xf numFmtId="0" fontId="2" fillId="2" borderId="4" xfId="2" applyBorder="1" applyAlignment="1">
      <alignment horizontal="center" vertical="top"/>
    </xf>
    <xf numFmtId="2" fontId="2" fillId="2" borderId="4" xfId="2" applyNumberFormat="1" applyBorder="1" applyAlignment="1">
      <alignment horizontal="center" vertical="top"/>
    </xf>
    <xf numFmtId="1" fontId="0" fillId="0" borderId="5" xfId="0" applyNumberFormat="1" applyBorder="1"/>
    <xf numFmtId="0" fontId="3" fillId="0" borderId="6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9" fontId="0" fillId="0" borderId="0" xfId="1" applyFont="1"/>
    <xf numFmtId="0" fontId="2" fillId="2" borderId="0" xfId="2"/>
    <xf numFmtId="2" fontId="2" fillId="2" borderId="0" xfId="2" applyNumberFormat="1"/>
    <xf numFmtId="1" fontId="2" fillId="2" borderId="0" xfId="2" applyNumberFormat="1"/>
    <xf numFmtId="9" fontId="1" fillId="0" borderId="0" xfId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vertical="center"/>
    </xf>
    <xf numFmtId="0" fontId="9" fillId="3" borderId="0" xfId="0" applyFont="1" applyFill="1"/>
    <xf numFmtId="0" fontId="6" fillId="3" borderId="0" xfId="0" applyFont="1" applyFill="1"/>
    <xf numFmtId="0" fontId="11" fillId="3" borderId="0" xfId="3" applyFont="1" applyFill="1" applyBorder="1" applyAlignment="1"/>
    <xf numFmtId="0" fontId="12" fillId="3" borderId="0" xfId="0" applyFont="1" applyFill="1"/>
  </cellXfs>
  <cellStyles count="4">
    <cellStyle name="Accent1" xfId="2" builtinId="29"/>
    <cellStyle name="Hyperlink" xfId="3" builtinId="8"/>
    <cellStyle name="Normal" xfId="0" builtinId="0"/>
    <cellStyle name="Percent" xfId="1" builtinId="5"/>
  </cellStyles>
  <dxfs count="35">
    <dxf>
      <numFmt numFmtId="2" formatCode="0.00"/>
    </dxf>
    <dxf>
      <numFmt numFmtId="1" formatCode="0"/>
    </dxf>
    <dxf>
      <border outline="0">
        <top style="thin">
          <color auto="1"/>
        </top>
      </border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border outline="0">
        <top style="thin">
          <color auto="1"/>
        </top>
      </border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border outline="0">
        <top style="thin">
          <color auto="1"/>
        </top>
      </border>
    </dxf>
    <dxf>
      <numFmt numFmtId="1" formatCode="0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alignment horizontal="center" vertical="top"/>
      <border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alignment horizontal="center" vertical="top"/>
      <border>
        <left style="thin">
          <color auto="1"/>
        </left>
        <right style="thin">
          <color auto="1"/>
        </right>
        <top/>
        <bottom/>
      </border>
    </dxf>
    <dxf>
      <numFmt numFmtId="1" formatCode="0"/>
      <border outline="0">
        <left style="thin">
          <color auto="1"/>
        </left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alignment horizontal="left" vertical="top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alignment horizontal="center" vertical="top"/>
      <border>
        <left style="thin">
          <color auto="1"/>
        </left>
        <right style="thin">
          <color auto="1"/>
        </right>
        <top/>
        <bottom/>
      </border>
    </dxf>
    <dxf>
      <numFmt numFmtId="1" formatCode="0"/>
      <border outline="0">
        <left style="thin">
          <color auto="1"/>
        </left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alignment horizontal="left" vertical="top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alignment horizontal="center" vertical="top"/>
      <border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46" totalsRowShown="0" headerRowDxfId="34" headerRowBorderDxfId="33" tableBorderDxfId="32" headerRowCellStyle="Accent1">
  <autoFilter ref="A1:B146" xr:uid="{00000000-0009-0000-0100-000001000000}"/>
  <tableColumns count="2">
    <tableColumn id="1" xr3:uid="{00000000-0010-0000-0000-000001000000}" name="Provider name" dataDxfId="31"/>
    <tableColumn id="2" xr3:uid="{00000000-0010-0000-0000-000002000000}" name="Brain (MRI)" dataDxfId="3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12" totalsRowShown="0" headerRowDxfId="29" headerRowBorderDxfId="28" tableBorderDxfId="27" headerRowCellStyle="Accent1">
  <autoFilter ref="A1:B12" xr:uid="{00000000-0009-0000-0100-000002000000}"/>
  <tableColumns count="2">
    <tableColumn id="1" xr3:uid="{00000000-0010-0000-0100-000001000000}" name="Provider name" dataDxfId="26"/>
    <tableColumn id="2" xr3:uid="{00000000-0010-0000-0100-000002000000}" name="Brain (MRI)" dataDxfId="2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E1048576" totalsRowShown="0" headerRowDxfId="24" headerRowBorderDxfId="23" tableBorderDxfId="22" headerRowCellStyle="Accent1">
  <autoFilter ref="A1:E1048576" xr:uid="{00000000-0009-0000-0100-000003000000}"/>
  <tableColumns count="5">
    <tableColumn id="5" xr3:uid="{00000000-0010-0000-0200-000005000000}" name="Regional Team Name"/>
    <tableColumn id="1" xr3:uid="{00000000-0010-0000-0200-000001000000}" name="Provider"/>
    <tableColumn id="2" xr3:uid="{00000000-0010-0000-0200-000002000000}" name="Brain MRI Waiting" dataDxfId="21"/>
    <tableColumn id="3" xr3:uid="{00000000-0010-0000-0200-000003000000}" name="Brain MRI 6+ Week Wait" dataDxfId="20"/>
    <tableColumn id="4" xr3:uid="{00000000-0010-0000-0200-000004000000}" name="Brain MRI % 6+ Weeks" dataCellStyle="Perc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D205" totalsRowShown="0" headerRowDxfId="19" headerRowBorderDxfId="18" tableBorderDxfId="17" headerRowCellStyle="Accent1">
  <autoFilter ref="A1:D205" xr:uid="{00000000-0009-0000-0100-000004000000}"/>
  <sortState xmlns:xlrd2="http://schemas.microsoft.com/office/spreadsheetml/2017/richdata2" ref="A2:D205">
    <sortCondition ref="B1:B205"/>
  </sortState>
  <tableColumns count="4">
    <tableColumn id="1" xr3:uid="{00000000-0010-0000-0300-000001000000}" name="NHS England region name"/>
    <tableColumn id="2" xr3:uid="{00000000-0010-0000-0300-000002000000}" name="Organisation name"/>
    <tableColumn id="3" xr3:uid="{00000000-0010-0000-0300-000003000000}" name="HCHS Doctors" dataDxfId="16"/>
    <tableColumn id="4" xr3:uid="{00000000-0010-0000-0300-000004000000}" name="Estimated Radiologists" dataDxfId="1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826CA3-EE18-4A2C-85B4-F5281E015145}" name="Table5" displayName="Table5" ref="A1:H135" totalsRowShown="0" tableBorderDxfId="14" headerRowCellStyle="Accent1">
  <autoFilter ref="A1:H135" xr:uid="{9A826CA3-EE18-4A2C-85B4-F5281E015145}"/>
  <tableColumns count="8">
    <tableColumn id="3" xr3:uid="{95F1B8CC-A777-468F-80A5-A455FDA0AF03}" name="NHS England region name"/>
    <tableColumn id="1" xr3:uid="{FD3DB88E-4C9A-4899-A781-D45BEE46AF4C}" name="NHS Trust"/>
    <tableColumn id="2" xr3:uid="{703481F2-B4FA-4DAC-916B-325F289625F4}" name="Brain (MRI)" dataDxfId="13"/>
    <tableColumn id="4" xr3:uid="{A0B5A1C4-6AAE-4316-BA20-3CACD89956F0}" name="HCHS Doctors" dataDxfId="12"/>
    <tableColumn id="5" xr3:uid="{7C729A35-8EE5-4F61-A234-D2D5DF656F16}" name="Estimated Radiologists" dataDxfId="11"/>
    <tableColumn id="6" xr3:uid="{5EB03B71-860E-4621-808F-26A37E14C961}" name="Scans per Radiologist (Annual)" dataDxfId="10"/>
    <tableColumn id="7" xr3:uid="{186AEC96-54BF-4031-A6D1-E4F746A1CB5C}" name="Scans per Radiologist (Monthly)" dataDxfId="9"/>
    <tableColumn id="8" xr3:uid="{66FB449C-B3B2-4C5C-87AE-894DB264DBC2}" name="Scans per Radiologist (Daily)" dataDxfId="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043365-68F3-447E-BBF2-70C8DDB5ABAA}" name="Table6" displayName="Table6" ref="A1:G127" totalsRowShown="0" tableBorderDxfId="7" headerRowCellStyle="Accent1">
  <autoFilter ref="A1:G127" xr:uid="{46043365-68F3-447E-BBF2-70C8DDB5ABAA}"/>
  <tableColumns count="7">
    <tableColumn id="3" xr3:uid="{1CE8D830-5EC1-4BF2-BC78-262BF7C9A26B}" name="Regional Team Name"/>
    <tableColumn id="1" xr3:uid="{BFD83126-E3C0-4871-A797-088C66FFA150}" name="NHS Trust"/>
    <tableColumn id="2" xr3:uid="{3E4D26CD-59B2-4A45-B34E-E9DB1F6FBD5F}" name="Brain (MRI)" dataDxfId="6"/>
    <tableColumn id="4" xr3:uid="{D4AA3D0B-4BAE-42F5-8473-186F5FB4B466}" name="Brain MRI Waiting" dataDxfId="5"/>
    <tableColumn id="5" xr3:uid="{5C85B3CC-78C6-4293-AFAD-0B10D645842A}" name="Brain MRI 6+ Week Wait" dataDxfId="4"/>
    <tableColumn id="6" xr3:uid="{0C0AB6C5-1EED-4B72-9967-8B47FD1AF41D}" name="Brain MRI % 6+ Weeks" dataCellStyle="Percent"/>
    <tableColumn id="7" xr3:uid="{D8CD29C5-9A00-448E-8E49-B334962B8F74}" name="Scan-to-6+Week-Wait Ratio" dataDxfId="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5F51D9-AD2B-46C1-9736-554E9F47BAC2}" name="Table7" displayName="Table7" ref="A1:H124" totalsRowShown="0" tableBorderDxfId="2" headerRowCellStyle="Accent1">
  <autoFilter ref="A1:H124" xr:uid="{2C5F51D9-AD2B-46C1-9736-554E9F47BAC2}"/>
  <tableColumns count="8">
    <tableColumn id="4" xr3:uid="{EF2C1AFC-EDA8-4C91-AB1E-B33467819AA5}" name="Regional Team Name"/>
    <tableColumn id="1" xr3:uid="{11F58132-1EF7-4B98-99C4-A870BEB3A457}" name="NHS Trust"/>
    <tableColumn id="2" xr3:uid="{4B6EDC49-7B9C-4319-9BA9-188079E1675E}" name="Brain (MRI)" dataDxfId="1"/>
    <tableColumn id="3" xr3:uid="{CC7764B3-D04D-4528-BD01-56DBA0EB3949}" name="Scans per Radiologist (Annual)" dataDxfId="0"/>
    <tableColumn id="5" xr3:uid="{4F7D1C4A-2DC4-4EF6-9A6A-7BA3391D3E38}" name="Scan-to-6+Week-Wait Ratio"/>
    <tableColumn id="6" xr3:uid="{EBE4D35C-A04A-442E-A762-8FB1242C1A28}" name="Efficiency Rank"/>
    <tableColumn id="7" xr3:uid="{355481EF-F970-4B3E-891B-31AAF1CDACB9}" name="Workload Rank"/>
    <tableColumn id="8" xr3:uid="{77C747D0-AC71-41F1-87DC-61F7893056BD}" name="Demand 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gland.nhs.uk/statistics/statistical-work-areas/diagnostic-imaging-dataset/" TargetMode="External"/><Relationship Id="rId2" Type="http://schemas.openxmlformats.org/officeDocument/2006/relationships/hyperlink" Target="https://digital.nhs.uk/data-and-information/publications/statistical/nhs-workforce-statistics" TargetMode="External"/><Relationship Id="rId1" Type="http://schemas.openxmlformats.org/officeDocument/2006/relationships/hyperlink" Target="https://www.england.nhs.uk/statistics/statistical-work-areas/diagnostics-waiting-times-and-activity/monthly-diagnostics-waiting-times-and-activit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070E-B6B8-4BDE-ACC6-1906BFBED2DD}">
  <dimension ref="A1:R41"/>
  <sheetViews>
    <sheetView tabSelected="1" zoomScaleNormal="100" workbookViewId="0">
      <selection activeCell="B30" sqref="B30"/>
    </sheetView>
  </sheetViews>
  <sheetFormatPr defaultRowHeight="14.25" x14ac:dyDescent="0.45"/>
  <cols>
    <col min="1" max="1" width="3.265625" style="21" customWidth="1"/>
    <col min="2" max="16384" width="9.06640625" style="17"/>
  </cols>
  <sheetData>
    <row r="1" spans="1:14" ht="21" x14ac:dyDescent="0.65">
      <c r="A1" s="16" t="s">
        <v>342</v>
      </c>
      <c r="B1" s="16"/>
      <c r="C1" s="16"/>
      <c r="D1" s="16"/>
      <c r="E1" s="16"/>
      <c r="F1" s="16"/>
      <c r="G1" s="16"/>
      <c r="H1" s="16"/>
      <c r="I1" s="16"/>
    </row>
    <row r="2" spans="1:14" ht="18" x14ac:dyDescent="0.55000000000000004">
      <c r="A2" s="18" t="s">
        <v>343</v>
      </c>
      <c r="B2" s="18"/>
      <c r="C2" s="18"/>
      <c r="D2" s="18"/>
      <c r="E2" s="18"/>
      <c r="F2" s="18"/>
      <c r="G2" s="18"/>
    </row>
    <row r="5" spans="1:14" ht="18" x14ac:dyDescent="0.55000000000000004">
      <c r="A5" s="19" t="s">
        <v>344</v>
      </c>
      <c r="B5" s="19"/>
      <c r="C5" s="19"/>
    </row>
    <row r="6" spans="1:14" x14ac:dyDescent="0.45">
      <c r="A6" s="20" t="s">
        <v>345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4" x14ac:dyDescent="0.4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4" x14ac:dyDescent="0.4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11" spans="1:14" ht="14.25" customHeight="1" x14ac:dyDescent="0.55000000000000004">
      <c r="A11" s="19" t="s">
        <v>346</v>
      </c>
      <c r="B11" s="19"/>
      <c r="C11" s="19"/>
    </row>
    <row r="12" spans="1:14" x14ac:dyDescent="0.45">
      <c r="A12" s="21">
        <v>1</v>
      </c>
      <c r="B12" s="22" t="s">
        <v>347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4" x14ac:dyDescent="0.45">
      <c r="A13" s="21">
        <v>2</v>
      </c>
      <c r="B13" s="23" t="s">
        <v>348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4" x14ac:dyDescent="0.45">
      <c r="A14" s="21">
        <v>3</v>
      </c>
      <c r="B14" s="22" t="s">
        <v>349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4" x14ac:dyDescent="0.45">
      <c r="A15" s="21">
        <v>4</v>
      </c>
      <c r="B15" s="22" t="s">
        <v>350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x14ac:dyDescent="0.45">
      <c r="A16" s="21">
        <v>5</v>
      </c>
      <c r="B16" s="22" t="s">
        <v>351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1:18" x14ac:dyDescent="0.45">
      <c r="A17" s="21">
        <v>6</v>
      </c>
      <c r="B17" s="22" t="s">
        <v>352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8" x14ac:dyDescent="0.45">
      <c r="A18" s="21">
        <v>7</v>
      </c>
      <c r="B18" s="22" t="s">
        <v>353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21" spans="1:18" ht="14.25" customHeight="1" x14ac:dyDescent="0.55000000000000004">
      <c r="A21" s="19" t="s">
        <v>354</v>
      </c>
      <c r="B21" s="19"/>
      <c r="C21" s="19"/>
    </row>
    <row r="22" spans="1:18" x14ac:dyDescent="0.45">
      <c r="A22" s="22" t="s">
        <v>355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8" x14ac:dyDescent="0.45">
      <c r="A23" s="24" t="s">
        <v>356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8" x14ac:dyDescent="0.45">
      <c r="A24" s="21">
        <v>1</v>
      </c>
      <c r="B24" s="23" t="s">
        <v>357</v>
      </c>
      <c r="C24" s="23"/>
      <c r="D24" s="23"/>
      <c r="E24" s="23"/>
      <c r="F24" s="23"/>
      <c r="G24" s="23"/>
      <c r="H24" s="23"/>
      <c r="I24" s="23"/>
      <c r="J24" s="23"/>
    </row>
    <row r="25" spans="1:18" x14ac:dyDescent="0.45">
      <c r="A25" s="21">
        <v>2</v>
      </c>
      <c r="B25" s="23" t="s">
        <v>358</v>
      </c>
      <c r="C25" s="23"/>
      <c r="D25" s="23"/>
      <c r="E25" s="23"/>
      <c r="F25" s="23"/>
      <c r="G25" s="23"/>
      <c r="H25" s="23"/>
      <c r="I25" s="23"/>
      <c r="J25" s="23"/>
      <c r="K25" s="23"/>
    </row>
    <row r="27" spans="1:18" x14ac:dyDescent="0.45">
      <c r="A27" s="22" t="s">
        <v>359</v>
      </c>
      <c r="B27" s="22"/>
      <c r="C27" s="22"/>
      <c r="D27" s="22"/>
      <c r="E27" s="22"/>
      <c r="F27" s="22"/>
      <c r="G27" s="22"/>
      <c r="H27" s="22"/>
      <c r="I27" s="22"/>
    </row>
    <row r="28" spans="1:18" x14ac:dyDescent="0.45">
      <c r="A28" s="24" t="s">
        <v>360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 x14ac:dyDescent="0.45">
      <c r="A29" s="21">
        <v>3</v>
      </c>
      <c r="B29" s="23" t="s">
        <v>369</v>
      </c>
      <c r="C29" s="23"/>
      <c r="D29" s="23"/>
      <c r="E29" s="23"/>
      <c r="F29" s="23"/>
      <c r="G29" s="23"/>
      <c r="H29" s="23"/>
      <c r="I29" s="23"/>
      <c r="J29" s="23"/>
    </row>
    <row r="31" spans="1:18" x14ac:dyDescent="0.45">
      <c r="A31" s="22" t="s">
        <v>361</v>
      </c>
      <c r="B31" s="22"/>
      <c r="C31" s="22"/>
      <c r="D31" s="22"/>
      <c r="E31" s="22"/>
      <c r="F31" s="22"/>
      <c r="G31" s="22"/>
      <c r="H31" s="22"/>
      <c r="I31" s="22"/>
      <c r="J31" s="22"/>
    </row>
    <row r="32" spans="1:18" x14ac:dyDescent="0.45">
      <c r="A32" s="24" t="s">
        <v>362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1:14" x14ac:dyDescent="0.45">
      <c r="A33" s="21">
        <v>4</v>
      </c>
      <c r="B33" s="23" t="s">
        <v>363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4" x14ac:dyDescent="0.45">
      <c r="A34" s="21">
        <v>5</v>
      </c>
      <c r="B34" s="23" t="s">
        <v>364</v>
      </c>
      <c r="C34" s="23"/>
      <c r="D34" s="23"/>
      <c r="E34" s="23"/>
      <c r="F34" s="23"/>
      <c r="G34" s="23"/>
      <c r="H34" s="23"/>
      <c r="I34" s="23"/>
      <c r="J34" s="23"/>
    </row>
    <row r="37" spans="1:14" x14ac:dyDescent="0.45">
      <c r="B37" s="24"/>
      <c r="C37" s="25"/>
      <c r="D37" s="25"/>
      <c r="E37" s="25"/>
      <c r="F37" s="25"/>
      <c r="G37" s="25"/>
      <c r="H37" s="25"/>
      <c r="I37" s="25"/>
      <c r="J37" s="25"/>
    </row>
    <row r="38" spans="1:14" ht="14.25" customHeight="1" x14ac:dyDescent="0.55000000000000004">
      <c r="A38" s="19" t="s">
        <v>365</v>
      </c>
      <c r="B38" s="19"/>
      <c r="C38" s="19"/>
      <c r="D38" s="19"/>
    </row>
    <row r="39" spans="1:14" x14ac:dyDescent="0.45">
      <c r="A39" s="23" t="s">
        <v>366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spans="1:14" x14ac:dyDescent="0.45">
      <c r="A40" s="23" t="s">
        <v>367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4" x14ac:dyDescent="0.45">
      <c r="A41" s="23" t="s">
        <v>368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</row>
  </sheetData>
  <mergeCells count="29">
    <mergeCell ref="B37:J37"/>
    <mergeCell ref="A38:D38"/>
    <mergeCell ref="A39:N39"/>
    <mergeCell ref="A40:N40"/>
    <mergeCell ref="A41:N41"/>
    <mergeCell ref="A28:R28"/>
    <mergeCell ref="B29:J29"/>
    <mergeCell ref="A31:J31"/>
    <mergeCell ref="A32:L32"/>
    <mergeCell ref="B33:M33"/>
    <mergeCell ref="B34:J34"/>
    <mergeCell ref="A21:C21"/>
    <mergeCell ref="A22:K22"/>
    <mergeCell ref="A23:K23"/>
    <mergeCell ref="B24:J24"/>
    <mergeCell ref="B25:K25"/>
    <mergeCell ref="A27:I27"/>
    <mergeCell ref="B13:M13"/>
    <mergeCell ref="B14:M14"/>
    <mergeCell ref="B15:N15"/>
    <mergeCell ref="B16:N16"/>
    <mergeCell ref="B17:M17"/>
    <mergeCell ref="B18:P18"/>
    <mergeCell ref="A1:I1"/>
    <mergeCell ref="A2:G2"/>
    <mergeCell ref="A5:C5"/>
    <mergeCell ref="A6:K8"/>
    <mergeCell ref="A11:C11"/>
    <mergeCell ref="B12:L12"/>
  </mergeCells>
  <hyperlinks>
    <hyperlink ref="A28" r:id="rId1" xr:uid="{402DB095-510A-45E2-B413-96658E464F5F}"/>
    <hyperlink ref="A32" r:id="rId2" xr:uid="{7170E942-584B-4C27-BE69-2213510F0339}"/>
    <hyperlink ref="A23" r:id="rId3" xr:uid="{A1892F32-F2D0-4978-A776-CAFA071F5E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"/>
  <sheetViews>
    <sheetView topLeftCell="A20" workbookViewId="0">
      <selection activeCell="A38" sqref="A38"/>
    </sheetView>
  </sheetViews>
  <sheetFormatPr defaultRowHeight="14.25" x14ac:dyDescent="0.45"/>
  <cols>
    <col min="1" max="1" width="65.1328125" bestFit="1" customWidth="1"/>
    <col min="2" max="2" width="11.73046875" style="3" customWidth="1"/>
  </cols>
  <sheetData>
    <row r="1" spans="1:2" x14ac:dyDescent="0.45">
      <c r="A1" s="4" t="s">
        <v>0</v>
      </c>
      <c r="B1" s="5" t="s">
        <v>1</v>
      </c>
    </row>
    <row r="2" spans="1:2" x14ac:dyDescent="0.45">
      <c r="A2" s="1" t="s">
        <v>2</v>
      </c>
      <c r="B2" s="3">
        <v>1410</v>
      </c>
    </row>
    <row r="3" spans="1:2" x14ac:dyDescent="0.45">
      <c r="A3" s="1" t="s">
        <v>3</v>
      </c>
      <c r="B3" s="3">
        <v>2290</v>
      </c>
    </row>
    <row r="4" spans="1:2" x14ac:dyDescent="0.45">
      <c r="A4" s="1" t="s">
        <v>4</v>
      </c>
      <c r="B4" s="3">
        <v>15170</v>
      </c>
    </row>
    <row r="5" spans="1:2" x14ac:dyDescent="0.45">
      <c r="A5" s="1" t="s">
        <v>5</v>
      </c>
      <c r="B5" s="3">
        <v>4345</v>
      </c>
    </row>
    <row r="6" spans="1:2" x14ac:dyDescent="0.45">
      <c r="A6" s="1" t="s">
        <v>6</v>
      </c>
      <c r="B6" s="3">
        <v>11745</v>
      </c>
    </row>
    <row r="7" spans="1:2" x14ac:dyDescent="0.45">
      <c r="A7" s="1" t="s">
        <v>7</v>
      </c>
      <c r="B7" s="3">
        <v>2715</v>
      </c>
    </row>
    <row r="8" spans="1:2" x14ac:dyDescent="0.45">
      <c r="A8" s="1" t="s">
        <v>8</v>
      </c>
      <c r="B8" s="3">
        <v>14190</v>
      </c>
    </row>
    <row r="9" spans="1:2" x14ac:dyDescent="0.45">
      <c r="A9" s="1" t="s">
        <v>9</v>
      </c>
      <c r="B9" s="3">
        <v>11010</v>
      </c>
    </row>
    <row r="10" spans="1:2" x14ac:dyDescent="0.45">
      <c r="A10" s="1" t="s">
        <v>10</v>
      </c>
      <c r="B10" s="3">
        <v>4145</v>
      </c>
    </row>
    <row r="11" spans="1:2" x14ac:dyDescent="0.45">
      <c r="A11" s="1" t="s">
        <v>11</v>
      </c>
      <c r="B11" s="3">
        <v>4635</v>
      </c>
    </row>
    <row r="12" spans="1:2" x14ac:dyDescent="0.45">
      <c r="A12" s="1" t="s">
        <v>12</v>
      </c>
      <c r="B12" s="3">
        <v>2995</v>
      </c>
    </row>
    <row r="13" spans="1:2" x14ac:dyDescent="0.45">
      <c r="A13" s="1" t="s">
        <v>13</v>
      </c>
      <c r="B13" s="3">
        <v>4765</v>
      </c>
    </row>
    <row r="14" spans="1:2" x14ac:dyDescent="0.45">
      <c r="A14" s="1" t="s">
        <v>14</v>
      </c>
      <c r="B14" s="3">
        <v>6520</v>
      </c>
    </row>
    <row r="15" spans="1:2" x14ac:dyDescent="0.45">
      <c r="A15" s="1" t="s">
        <v>15</v>
      </c>
      <c r="B15" s="3">
        <v>5060</v>
      </c>
    </row>
    <row r="16" spans="1:2" x14ac:dyDescent="0.45">
      <c r="A16" s="1" t="s">
        <v>16</v>
      </c>
      <c r="B16" s="3">
        <v>11375</v>
      </c>
    </row>
    <row r="17" spans="1:2" x14ac:dyDescent="0.45">
      <c r="A17" s="1" t="s">
        <v>17</v>
      </c>
      <c r="B17" s="3">
        <v>7015</v>
      </c>
    </row>
    <row r="18" spans="1:2" x14ac:dyDescent="0.45">
      <c r="A18" s="1" t="s">
        <v>18</v>
      </c>
      <c r="B18" s="3">
        <v>3465</v>
      </c>
    </row>
    <row r="19" spans="1:2" x14ac:dyDescent="0.45">
      <c r="A19" s="1" t="s">
        <v>19</v>
      </c>
      <c r="B19" s="3">
        <v>2175</v>
      </c>
    </row>
    <row r="20" spans="1:2" x14ac:dyDescent="0.45">
      <c r="A20" s="1" t="s">
        <v>20</v>
      </c>
      <c r="B20" s="3">
        <v>2090</v>
      </c>
    </row>
    <row r="21" spans="1:2" x14ac:dyDescent="0.45">
      <c r="A21" s="1" t="s">
        <v>21</v>
      </c>
      <c r="B21" s="3">
        <v>3440</v>
      </c>
    </row>
    <row r="22" spans="1:2" x14ac:dyDescent="0.45">
      <c r="A22" s="1" t="s">
        <v>22</v>
      </c>
      <c r="B22" s="3">
        <v>7110</v>
      </c>
    </row>
    <row r="23" spans="1:2" x14ac:dyDescent="0.45">
      <c r="A23" s="1" t="s">
        <v>23</v>
      </c>
      <c r="B23" s="3">
        <v>4300</v>
      </c>
    </row>
    <row r="24" spans="1:2" x14ac:dyDescent="0.45">
      <c r="A24" s="1" t="s">
        <v>24</v>
      </c>
      <c r="B24" s="3">
        <v>5825</v>
      </c>
    </row>
    <row r="25" spans="1:2" x14ac:dyDescent="0.45">
      <c r="A25" s="1" t="s">
        <v>25</v>
      </c>
      <c r="B25" s="3">
        <v>4705</v>
      </c>
    </row>
    <row r="26" spans="1:2" x14ac:dyDescent="0.45">
      <c r="A26" s="1" t="s">
        <v>26</v>
      </c>
      <c r="B26" s="3">
        <v>1915</v>
      </c>
    </row>
    <row r="27" spans="1:2" x14ac:dyDescent="0.45">
      <c r="A27" s="1" t="s">
        <v>27</v>
      </c>
      <c r="B27" s="3">
        <v>2410</v>
      </c>
    </row>
    <row r="28" spans="1:2" x14ac:dyDescent="0.45">
      <c r="A28" s="1" t="s">
        <v>28</v>
      </c>
      <c r="B28" s="3">
        <v>18950</v>
      </c>
    </row>
    <row r="29" spans="1:2" x14ac:dyDescent="0.45">
      <c r="A29" s="1" t="s">
        <v>29</v>
      </c>
      <c r="B29" s="3">
        <v>6210</v>
      </c>
    </row>
    <row r="30" spans="1:2" x14ac:dyDescent="0.45">
      <c r="A30" s="1" t="s">
        <v>30</v>
      </c>
      <c r="B30" s="3">
        <v>11920</v>
      </c>
    </row>
    <row r="31" spans="1:2" x14ac:dyDescent="0.45">
      <c r="A31" s="1" t="s">
        <v>31</v>
      </c>
      <c r="B31" s="3">
        <v>8625</v>
      </c>
    </row>
    <row r="32" spans="1:2" x14ac:dyDescent="0.45">
      <c r="A32" s="1" t="s">
        <v>32</v>
      </c>
      <c r="B32" s="3">
        <v>4390</v>
      </c>
    </row>
    <row r="33" spans="1:2" x14ac:dyDescent="0.45">
      <c r="A33" s="1" t="s">
        <v>33</v>
      </c>
      <c r="B33" s="3">
        <v>6115</v>
      </c>
    </row>
    <row r="34" spans="1:2" x14ac:dyDescent="0.45">
      <c r="A34" s="1" t="s">
        <v>34</v>
      </c>
      <c r="B34" s="3">
        <v>8145</v>
      </c>
    </row>
    <row r="35" spans="1:2" x14ac:dyDescent="0.45">
      <c r="A35" s="1" t="s">
        <v>35</v>
      </c>
      <c r="B35" s="3">
        <v>1645</v>
      </c>
    </row>
    <row r="36" spans="1:2" x14ac:dyDescent="0.45">
      <c r="A36" s="1" t="s">
        <v>36</v>
      </c>
      <c r="B36" s="3">
        <v>3030</v>
      </c>
    </row>
    <row r="37" spans="1:2" x14ac:dyDescent="0.45">
      <c r="A37" s="1" t="s">
        <v>37</v>
      </c>
      <c r="B37" s="3">
        <v>5385</v>
      </c>
    </row>
    <row r="38" spans="1:2" x14ac:dyDescent="0.45">
      <c r="A38" s="1" t="s">
        <v>38</v>
      </c>
      <c r="B38" s="3">
        <v>3805</v>
      </c>
    </row>
    <row r="39" spans="1:2" x14ac:dyDescent="0.45">
      <c r="A39" s="1" t="s">
        <v>39</v>
      </c>
      <c r="B39" s="3">
        <v>4935</v>
      </c>
    </row>
    <row r="40" spans="1:2" x14ac:dyDescent="0.45">
      <c r="A40" s="1" t="s">
        <v>40</v>
      </c>
      <c r="B40" s="3">
        <v>14035</v>
      </c>
    </row>
    <row r="41" spans="1:2" x14ac:dyDescent="0.45">
      <c r="A41" s="1" t="s">
        <v>41</v>
      </c>
      <c r="B41" s="3">
        <v>5735</v>
      </c>
    </row>
    <row r="42" spans="1:2" x14ac:dyDescent="0.45">
      <c r="A42" s="1" t="s">
        <v>42</v>
      </c>
      <c r="B42" s="3">
        <v>1715</v>
      </c>
    </row>
    <row r="43" spans="1:2" x14ac:dyDescent="0.45">
      <c r="A43" s="1" t="s">
        <v>43</v>
      </c>
      <c r="B43" s="3">
        <v>1990</v>
      </c>
    </row>
    <row r="44" spans="1:2" x14ac:dyDescent="0.45">
      <c r="A44" s="1" t="s">
        <v>44</v>
      </c>
      <c r="B44" s="3">
        <v>5625</v>
      </c>
    </row>
    <row r="45" spans="1:2" x14ac:dyDescent="0.45">
      <c r="A45" s="1" t="s">
        <v>45</v>
      </c>
      <c r="B45" s="3">
        <v>55</v>
      </c>
    </row>
    <row r="46" spans="1:2" x14ac:dyDescent="0.45">
      <c r="A46" s="1" t="s">
        <v>46</v>
      </c>
      <c r="B46" s="3">
        <v>11500</v>
      </c>
    </row>
    <row r="47" spans="1:2" x14ac:dyDescent="0.45">
      <c r="A47" s="1" t="s">
        <v>47</v>
      </c>
      <c r="B47" s="3">
        <v>24625</v>
      </c>
    </row>
    <row r="48" spans="1:2" x14ac:dyDescent="0.45">
      <c r="A48" s="1" t="s">
        <v>48</v>
      </c>
      <c r="B48" s="3">
        <v>9860</v>
      </c>
    </row>
    <row r="49" spans="1:2" x14ac:dyDescent="0.45">
      <c r="A49" s="1" t="s">
        <v>49</v>
      </c>
      <c r="B49" s="3">
        <v>2425</v>
      </c>
    </row>
    <row r="50" spans="1:2" x14ac:dyDescent="0.45">
      <c r="A50" s="1" t="s">
        <v>50</v>
      </c>
      <c r="B50" s="3">
        <v>3685</v>
      </c>
    </row>
    <row r="51" spans="1:2" x14ac:dyDescent="0.45">
      <c r="A51" s="1" t="s">
        <v>51</v>
      </c>
      <c r="B51" s="3">
        <v>3635</v>
      </c>
    </row>
    <row r="52" spans="1:2" x14ac:dyDescent="0.45">
      <c r="A52" s="1" t="s">
        <v>52</v>
      </c>
      <c r="B52" s="3">
        <v>18320</v>
      </c>
    </row>
    <row r="53" spans="1:2" x14ac:dyDescent="0.45">
      <c r="A53" s="1" t="s">
        <v>53</v>
      </c>
      <c r="B53" s="3">
        <v>5600</v>
      </c>
    </row>
    <row r="54" spans="1:2" x14ac:dyDescent="0.45">
      <c r="A54" s="1" t="s">
        <v>54</v>
      </c>
      <c r="B54" s="3">
        <v>13420</v>
      </c>
    </row>
    <row r="55" spans="1:2" x14ac:dyDescent="0.45">
      <c r="A55" s="1" t="s">
        <v>55</v>
      </c>
      <c r="B55" s="3">
        <v>17315</v>
      </c>
    </row>
    <row r="56" spans="1:2" x14ac:dyDescent="0.45">
      <c r="A56" s="1" t="s">
        <v>56</v>
      </c>
      <c r="B56" s="3">
        <v>5705</v>
      </c>
    </row>
    <row r="57" spans="1:2" x14ac:dyDescent="0.45">
      <c r="A57" s="1" t="s">
        <v>57</v>
      </c>
      <c r="B57" s="3">
        <v>250</v>
      </c>
    </row>
    <row r="58" spans="1:2" x14ac:dyDescent="0.45">
      <c r="A58" s="1" t="s">
        <v>58</v>
      </c>
      <c r="B58" s="3">
        <v>5580</v>
      </c>
    </row>
    <row r="59" spans="1:2" x14ac:dyDescent="0.45">
      <c r="A59" s="1" t="s">
        <v>59</v>
      </c>
      <c r="B59" s="3">
        <v>10160</v>
      </c>
    </row>
    <row r="60" spans="1:2" x14ac:dyDescent="0.45">
      <c r="A60" s="1" t="s">
        <v>60</v>
      </c>
      <c r="B60" s="3">
        <v>11935</v>
      </c>
    </row>
    <row r="61" spans="1:2" x14ac:dyDescent="0.45">
      <c r="A61" s="1" t="s">
        <v>61</v>
      </c>
      <c r="B61" s="3">
        <v>12355</v>
      </c>
    </row>
    <row r="62" spans="1:2" x14ac:dyDescent="0.45">
      <c r="A62" s="1" t="s">
        <v>62</v>
      </c>
      <c r="B62" s="3">
        <v>5060</v>
      </c>
    </row>
    <row r="63" spans="1:2" x14ac:dyDescent="0.45">
      <c r="A63" s="1" t="s">
        <v>63</v>
      </c>
      <c r="B63" s="3">
        <v>5855</v>
      </c>
    </row>
    <row r="64" spans="1:2" x14ac:dyDescent="0.45">
      <c r="A64" s="1" t="s">
        <v>64</v>
      </c>
      <c r="B64" s="3">
        <v>4515</v>
      </c>
    </row>
    <row r="65" spans="1:2" x14ac:dyDescent="0.45">
      <c r="A65" s="1" t="s">
        <v>65</v>
      </c>
      <c r="B65" s="3">
        <v>8100</v>
      </c>
    </row>
    <row r="66" spans="1:2" x14ac:dyDescent="0.45">
      <c r="A66" s="1" t="s">
        <v>66</v>
      </c>
      <c r="B66" s="3">
        <v>16060</v>
      </c>
    </row>
    <row r="67" spans="1:2" x14ac:dyDescent="0.45">
      <c r="A67" s="1" t="s">
        <v>67</v>
      </c>
      <c r="B67" s="3">
        <v>6655</v>
      </c>
    </row>
    <row r="68" spans="1:2" x14ac:dyDescent="0.45">
      <c r="A68" s="1" t="s">
        <v>68</v>
      </c>
      <c r="B68" s="3">
        <v>1845</v>
      </c>
    </row>
    <row r="69" spans="1:2" x14ac:dyDescent="0.45">
      <c r="A69" s="1" t="s">
        <v>69</v>
      </c>
      <c r="B69" s="3">
        <v>7780</v>
      </c>
    </row>
    <row r="70" spans="1:2" x14ac:dyDescent="0.45">
      <c r="A70" s="1" t="s">
        <v>70</v>
      </c>
      <c r="B70" s="3">
        <v>10825</v>
      </c>
    </row>
    <row r="71" spans="1:2" x14ac:dyDescent="0.45">
      <c r="A71" s="1" t="s">
        <v>71</v>
      </c>
      <c r="B71" s="3">
        <v>2500</v>
      </c>
    </row>
    <row r="72" spans="1:2" x14ac:dyDescent="0.45">
      <c r="A72" s="1" t="s">
        <v>72</v>
      </c>
      <c r="B72" s="3">
        <v>3495</v>
      </c>
    </row>
    <row r="73" spans="1:2" x14ac:dyDescent="0.45">
      <c r="A73" s="1" t="s">
        <v>73</v>
      </c>
      <c r="B73" s="3">
        <v>7560</v>
      </c>
    </row>
    <row r="74" spans="1:2" x14ac:dyDescent="0.45">
      <c r="A74" s="1" t="s">
        <v>74</v>
      </c>
      <c r="B74" s="3">
        <v>6170</v>
      </c>
    </row>
    <row r="75" spans="1:2" x14ac:dyDescent="0.45">
      <c r="A75" s="1" t="s">
        <v>75</v>
      </c>
      <c r="B75" s="3">
        <v>27325</v>
      </c>
    </row>
    <row r="76" spans="1:2" x14ac:dyDescent="0.45">
      <c r="A76" s="1" t="s">
        <v>76</v>
      </c>
      <c r="B76" s="3">
        <v>8890</v>
      </c>
    </row>
    <row r="77" spans="1:2" x14ac:dyDescent="0.45">
      <c r="A77" s="1" t="s">
        <v>77</v>
      </c>
      <c r="B77" s="3">
        <v>4700</v>
      </c>
    </row>
    <row r="78" spans="1:2" x14ac:dyDescent="0.45">
      <c r="A78" s="1" t="s">
        <v>78</v>
      </c>
      <c r="B78" s="3">
        <v>17670</v>
      </c>
    </row>
    <row r="79" spans="1:2" x14ac:dyDescent="0.45">
      <c r="A79" s="1" t="s">
        <v>79</v>
      </c>
      <c r="B79" s="3">
        <v>390</v>
      </c>
    </row>
    <row r="80" spans="1:2" x14ac:dyDescent="0.45">
      <c r="A80" s="1" t="s">
        <v>80</v>
      </c>
      <c r="B80" s="3">
        <v>13260</v>
      </c>
    </row>
    <row r="81" spans="1:2" x14ac:dyDescent="0.45">
      <c r="A81" s="1" t="s">
        <v>81</v>
      </c>
      <c r="B81" s="3">
        <v>80</v>
      </c>
    </row>
    <row r="82" spans="1:2" x14ac:dyDescent="0.45">
      <c r="A82" s="1" t="s">
        <v>82</v>
      </c>
      <c r="B82" s="3">
        <v>6715</v>
      </c>
    </row>
    <row r="83" spans="1:2" x14ac:dyDescent="0.45">
      <c r="A83" s="1" t="s">
        <v>83</v>
      </c>
      <c r="B83" s="3">
        <v>1780</v>
      </c>
    </row>
    <row r="84" spans="1:2" x14ac:dyDescent="0.45">
      <c r="A84" s="1" t="s">
        <v>84</v>
      </c>
      <c r="B84" s="3">
        <v>350</v>
      </c>
    </row>
    <row r="85" spans="1:2" x14ac:dyDescent="0.45">
      <c r="A85" s="1" t="s">
        <v>85</v>
      </c>
      <c r="B85" s="3">
        <v>915</v>
      </c>
    </row>
    <row r="86" spans="1:2" x14ac:dyDescent="0.45">
      <c r="A86" s="1" t="s">
        <v>86</v>
      </c>
      <c r="B86" s="3">
        <v>6115</v>
      </c>
    </row>
    <row r="87" spans="1:2" x14ac:dyDescent="0.45">
      <c r="A87" s="1" t="s">
        <v>87</v>
      </c>
      <c r="B87" s="3">
        <v>8460</v>
      </c>
    </row>
    <row r="88" spans="1:2" x14ac:dyDescent="0.45">
      <c r="A88" s="1" t="s">
        <v>88</v>
      </c>
      <c r="B88" s="3">
        <v>7495</v>
      </c>
    </row>
    <row r="89" spans="1:2" x14ac:dyDescent="0.45">
      <c r="A89" s="1" t="s">
        <v>89</v>
      </c>
      <c r="B89" s="3">
        <v>12925</v>
      </c>
    </row>
    <row r="90" spans="1:2" x14ac:dyDescent="0.45">
      <c r="A90" s="1" t="s">
        <v>90</v>
      </c>
      <c r="B90" s="3">
        <v>220</v>
      </c>
    </row>
    <row r="91" spans="1:2" x14ac:dyDescent="0.45">
      <c r="A91" s="1" t="s">
        <v>91</v>
      </c>
      <c r="B91" s="3">
        <v>35</v>
      </c>
    </row>
    <row r="92" spans="1:2" x14ac:dyDescent="0.45">
      <c r="A92" s="1" t="s">
        <v>92</v>
      </c>
      <c r="B92" s="3">
        <v>3920</v>
      </c>
    </row>
    <row r="93" spans="1:2" x14ac:dyDescent="0.45">
      <c r="A93" s="1" t="s">
        <v>93</v>
      </c>
      <c r="B93" s="3">
        <v>5370</v>
      </c>
    </row>
    <row r="94" spans="1:2" x14ac:dyDescent="0.45">
      <c r="A94" s="1" t="s">
        <v>94</v>
      </c>
      <c r="B94" s="3">
        <v>2875</v>
      </c>
    </row>
    <row r="95" spans="1:2" x14ac:dyDescent="0.45">
      <c r="A95" s="1" t="s">
        <v>95</v>
      </c>
      <c r="B95" s="3">
        <v>7625</v>
      </c>
    </row>
    <row r="96" spans="1:2" x14ac:dyDescent="0.45">
      <c r="A96" s="1" t="s">
        <v>96</v>
      </c>
      <c r="B96" s="3">
        <v>1770</v>
      </c>
    </row>
    <row r="97" spans="1:2" x14ac:dyDescent="0.45">
      <c r="A97" s="1" t="s">
        <v>97</v>
      </c>
      <c r="B97" s="3">
        <v>16860</v>
      </c>
    </row>
    <row r="98" spans="1:2" x14ac:dyDescent="0.45">
      <c r="A98" s="1" t="s">
        <v>98</v>
      </c>
      <c r="B98" s="3">
        <v>5395</v>
      </c>
    </row>
    <row r="99" spans="1:2" x14ac:dyDescent="0.45">
      <c r="A99" s="1" t="s">
        <v>99</v>
      </c>
      <c r="B99" s="3">
        <v>6480</v>
      </c>
    </row>
    <row r="100" spans="1:2" x14ac:dyDescent="0.45">
      <c r="A100" s="1" t="s">
        <v>100</v>
      </c>
      <c r="B100" s="3">
        <v>1065</v>
      </c>
    </row>
    <row r="101" spans="1:2" x14ac:dyDescent="0.45">
      <c r="A101" s="1" t="s">
        <v>101</v>
      </c>
      <c r="B101" s="3">
        <v>8285</v>
      </c>
    </row>
    <row r="102" spans="1:2" x14ac:dyDescent="0.45">
      <c r="A102" s="1" t="s">
        <v>102</v>
      </c>
      <c r="B102" s="3">
        <v>7375</v>
      </c>
    </row>
    <row r="103" spans="1:2" x14ac:dyDescent="0.45">
      <c r="A103" s="1" t="s">
        <v>103</v>
      </c>
      <c r="B103" s="3">
        <v>2580</v>
      </c>
    </row>
    <row r="104" spans="1:2" x14ac:dyDescent="0.45">
      <c r="A104" s="1" t="s">
        <v>104</v>
      </c>
      <c r="B104" s="3">
        <v>2480</v>
      </c>
    </row>
    <row r="105" spans="1:2" x14ac:dyDescent="0.45">
      <c r="A105" s="1" t="s">
        <v>105</v>
      </c>
      <c r="B105" s="3">
        <v>11020</v>
      </c>
    </row>
    <row r="106" spans="1:2" x14ac:dyDescent="0.45">
      <c r="A106" s="1" t="s">
        <v>106</v>
      </c>
      <c r="B106" s="3">
        <v>4250</v>
      </c>
    </row>
    <row r="107" spans="1:2" x14ac:dyDescent="0.45">
      <c r="A107" s="1" t="s">
        <v>107</v>
      </c>
      <c r="B107" s="3">
        <v>1075</v>
      </c>
    </row>
    <row r="108" spans="1:2" x14ac:dyDescent="0.45">
      <c r="A108" s="1" t="s">
        <v>108</v>
      </c>
      <c r="B108" s="3">
        <v>2790</v>
      </c>
    </row>
    <row r="109" spans="1:2" x14ac:dyDescent="0.45">
      <c r="A109" s="1" t="s">
        <v>109</v>
      </c>
      <c r="B109" s="3">
        <v>5195</v>
      </c>
    </row>
    <row r="110" spans="1:2" x14ac:dyDescent="0.45">
      <c r="A110" s="1" t="s">
        <v>110</v>
      </c>
      <c r="B110" s="3">
        <v>3475</v>
      </c>
    </row>
    <row r="111" spans="1:2" x14ac:dyDescent="0.45">
      <c r="A111" s="1" t="s">
        <v>111</v>
      </c>
      <c r="B111" s="3">
        <v>6280</v>
      </c>
    </row>
    <row r="112" spans="1:2" x14ac:dyDescent="0.45">
      <c r="A112" s="1" t="s">
        <v>112</v>
      </c>
      <c r="B112" s="3">
        <v>3285</v>
      </c>
    </row>
    <row r="113" spans="1:2" x14ac:dyDescent="0.45">
      <c r="A113" s="1" t="s">
        <v>113</v>
      </c>
      <c r="B113" s="3">
        <v>21760</v>
      </c>
    </row>
    <row r="114" spans="1:2" x14ac:dyDescent="0.45">
      <c r="A114" s="1" t="s">
        <v>114</v>
      </c>
      <c r="B114" s="3">
        <v>3565</v>
      </c>
    </row>
    <row r="115" spans="1:2" x14ac:dyDescent="0.45">
      <c r="A115" s="1" t="s">
        <v>115</v>
      </c>
      <c r="B115" s="3">
        <v>3635</v>
      </c>
    </row>
    <row r="116" spans="1:2" x14ac:dyDescent="0.45">
      <c r="A116" s="1" t="s">
        <v>116</v>
      </c>
      <c r="B116" s="3">
        <v>80</v>
      </c>
    </row>
    <row r="117" spans="1:2" x14ac:dyDescent="0.45">
      <c r="A117" s="1" t="s">
        <v>117</v>
      </c>
      <c r="B117" s="3">
        <v>1400</v>
      </c>
    </row>
    <row r="118" spans="1:2" x14ac:dyDescent="0.45">
      <c r="A118" s="1" t="s">
        <v>118</v>
      </c>
      <c r="B118" s="3">
        <v>5015</v>
      </c>
    </row>
    <row r="119" spans="1:2" x14ac:dyDescent="0.45">
      <c r="A119" s="1" t="s">
        <v>119</v>
      </c>
      <c r="B119" s="3">
        <v>5</v>
      </c>
    </row>
    <row r="120" spans="1:2" x14ac:dyDescent="0.45">
      <c r="A120" s="1" t="s">
        <v>120</v>
      </c>
      <c r="B120" s="3">
        <v>8110</v>
      </c>
    </row>
    <row r="121" spans="1:2" x14ac:dyDescent="0.45">
      <c r="A121" s="1" t="s">
        <v>121</v>
      </c>
      <c r="B121" s="3">
        <v>7500</v>
      </c>
    </row>
    <row r="122" spans="1:2" x14ac:dyDescent="0.45">
      <c r="A122" s="1" t="s">
        <v>122</v>
      </c>
      <c r="B122" s="3">
        <v>5390</v>
      </c>
    </row>
    <row r="123" spans="1:2" x14ac:dyDescent="0.45">
      <c r="A123" s="1" t="s">
        <v>123</v>
      </c>
      <c r="B123" s="3">
        <v>4690</v>
      </c>
    </row>
    <row r="124" spans="1:2" x14ac:dyDescent="0.45">
      <c r="A124" s="1" t="s">
        <v>124</v>
      </c>
      <c r="B124" s="3">
        <v>11755</v>
      </c>
    </row>
    <row r="125" spans="1:2" x14ac:dyDescent="0.45">
      <c r="A125" s="1" t="s">
        <v>125</v>
      </c>
      <c r="B125" s="3">
        <v>21960</v>
      </c>
    </row>
    <row r="126" spans="1:2" x14ac:dyDescent="0.45">
      <c r="A126" s="1" t="s">
        <v>126</v>
      </c>
      <c r="B126" s="3">
        <v>12615</v>
      </c>
    </row>
    <row r="127" spans="1:2" x14ac:dyDescent="0.45">
      <c r="A127" s="1" t="s">
        <v>127</v>
      </c>
      <c r="B127" s="3">
        <v>24270</v>
      </c>
    </row>
    <row r="128" spans="1:2" x14ac:dyDescent="0.45">
      <c r="A128" s="1" t="s">
        <v>128</v>
      </c>
      <c r="B128" s="3">
        <v>8390</v>
      </c>
    </row>
    <row r="129" spans="1:2" x14ac:dyDescent="0.45">
      <c r="A129" s="1" t="s">
        <v>129</v>
      </c>
      <c r="B129" s="3">
        <v>16360</v>
      </c>
    </row>
    <row r="130" spans="1:2" x14ac:dyDescent="0.45">
      <c r="A130" s="1" t="s">
        <v>130</v>
      </c>
      <c r="B130" s="3">
        <v>7870</v>
      </c>
    </row>
    <row r="131" spans="1:2" x14ac:dyDescent="0.45">
      <c r="A131" s="1" t="s">
        <v>131</v>
      </c>
      <c r="B131" s="3">
        <v>9990</v>
      </c>
    </row>
    <row r="132" spans="1:2" x14ac:dyDescent="0.45">
      <c r="A132" s="1" t="s">
        <v>132</v>
      </c>
      <c r="B132" s="3">
        <v>16045</v>
      </c>
    </row>
    <row r="133" spans="1:2" x14ac:dyDescent="0.45">
      <c r="A133" s="1" t="s">
        <v>133</v>
      </c>
      <c r="B133" s="3">
        <v>12250</v>
      </c>
    </row>
    <row r="134" spans="1:2" x14ac:dyDescent="0.45">
      <c r="A134" s="1" t="s">
        <v>134</v>
      </c>
      <c r="B134" s="3">
        <v>13365</v>
      </c>
    </row>
    <row r="135" spans="1:2" x14ac:dyDescent="0.45">
      <c r="A135" s="1" t="s">
        <v>135</v>
      </c>
      <c r="B135" s="3">
        <v>5035</v>
      </c>
    </row>
    <row r="136" spans="1:2" x14ac:dyDescent="0.45">
      <c r="A136" s="1" t="s">
        <v>136</v>
      </c>
      <c r="B136" s="3">
        <v>17595</v>
      </c>
    </row>
    <row r="137" spans="1:2" x14ac:dyDescent="0.45">
      <c r="A137" s="1" t="s">
        <v>137</v>
      </c>
      <c r="B137" s="3">
        <v>5215</v>
      </c>
    </row>
    <row r="138" spans="1:2" x14ac:dyDescent="0.45">
      <c r="A138" s="1" t="s">
        <v>138</v>
      </c>
      <c r="B138" s="3">
        <v>3635</v>
      </c>
    </row>
    <row r="139" spans="1:2" x14ac:dyDescent="0.45">
      <c r="A139" s="1" t="s">
        <v>139</v>
      </c>
      <c r="B139" s="3">
        <v>4025</v>
      </c>
    </row>
    <row r="140" spans="1:2" x14ac:dyDescent="0.45">
      <c r="A140" s="1" t="s">
        <v>140</v>
      </c>
      <c r="B140" s="3">
        <v>4080</v>
      </c>
    </row>
    <row r="141" spans="1:2" x14ac:dyDescent="0.45">
      <c r="A141" s="1" t="s">
        <v>141</v>
      </c>
      <c r="B141" s="3">
        <v>4035</v>
      </c>
    </row>
    <row r="142" spans="1:2" x14ac:dyDescent="0.45">
      <c r="A142" s="1" t="s">
        <v>142</v>
      </c>
      <c r="B142" s="3">
        <v>5130</v>
      </c>
    </row>
    <row r="143" spans="1:2" x14ac:dyDescent="0.45">
      <c r="A143" s="1" t="s">
        <v>143</v>
      </c>
      <c r="B143" s="3">
        <v>5710</v>
      </c>
    </row>
    <row r="144" spans="1:2" x14ac:dyDescent="0.45">
      <c r="A144" s="1" t="s">
        <v>144</v>
      </c>
      <c r="B144" s="3">
        <v>5640</v>
      </c>
    </row>
    <row r="145" spans="1:2" x14ac:dyDescent="0.45">
      <c r="A145" s="1" t="s">
        <v>145</v>
      </c>
      <c r="B145" s="3">
        <v>4210</v>
      </c>
    </row>
    <row r="146" spans="1:2" x14ac:dyDescent="0.45">
      <c r="A146" s="1" t="s">
        <v>146</v>
      </c>
      <c r="B146" s="3">
        <v>5625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3" sqref="B13"/>
    </sheetView>
  </sheetViews>
  <sheetFormatPr defaultRowHeight="14.25" x14ac:dyDescent="0.45"/>
  <cols>
    <col min="1" max="1" width="35.06640625" bestFit="1" customWidth="1"/>
    <col min="2" max="2" width="11.73046875" style="3" customWidth="1"/>
  </cols>
  <sheetData>
    <row r="1" spans="1:2" x14ac:dyDescent="0.45">
      <c r="A1" s="4" t="s">
        <v>0</v>
      </c>
      <c r="B1" s="5" t="s">
        <v>1</v>
      </c>
    </row>
    <row r="2" spans="1:2" x14ac:dyDescent="0.45">
      <c r="A2" s="1" t="s">
        <v>4</v>
      </c>
      <c r="B2" s="3">
        <v>15170</v>
      </c>
    </row>
    <row r="3" spans="1:2" x14ac:dyDescent="0.45">
      <c r="A3" s="1" t="s">
        <v>48</v>
      </c>
      <c r="B3" s="3">
        <v>9860</v>
      </c>
    </row>
    <row r="4" spans="1:2" x14ac:dyDescent="0.45">
      <c r="A4" s="1" t="s">
        <v>44</v>
      </c>
      <c r="B4" s="3">
        <v>5625</v>
      </c>
    </row>
    <row r="5" spans="1:2" x14ac:dyDescent="0.45">
      <c r="A5" s="1" t="s">
        <v>104</v>
      </c>
      <c r="B5" s="3">
        <v>2480</v>
      </c>
    </row>
    <row r="6" spans="1:2" x14ac:dyDescent="0.45">
      <c r="A6" s="1" t="s">
        <v>19</v>
      </c>
      <c r="B6" s="3">
        <v>2175</v>
      </c>
    </row>
    <row r="7" spans="1:2" x14ac:dyDescent="0.45">
      <c r="A7" s="1" t="s">
        <v>20</v>
      </c>
      <c r="B7" s="3">
        <v>2090</v>
      </c>
    </row>
    <row r="8" spans="1:2" x14ac:dyDescent="0.45">
      <c r="A8" s="1" t="s">
        <v>83</v>
      </c>
      <c r="B8" s="3">
        <v>1780</v>
      </c>
    </row>
    <row r="9" spans="1:2" x14ac:dyDescent="0.45">
      <c r="A9" s="1" t="s">
        <v>85</v>
      </c>
      <c r="B9" s="3">
        <v>915</v>
      </c>
    </row>
    <row r="10" spans="1:2" x14ac:dyDescent="0.45">
      <c r="A10" s="1" t="s">
        <v>79</v>
      </c>
      <c r="B10" s="3">
        <v>390</v>
      </c>
    </row>
    <row r="11" spans="1:2" x14ac:dyDescent="0.45">
      <c r="A11" s="1" t="s">
        <v>81</v>
      </c>
      <c r="B11" s="3">
        <v>80</v>
      </c>
    </row>
    <row r="12" spans="1:2" x14ac:dyDescent="0.45">
      <c r="A12" s="9" t="s">
        <v>147</v>
      </c>
      <c r="B12" s="8">
        <f>SUM(B2:B11)</f>
        <v>40565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6"/>
  <sheetViews>
    <sheetView topLeftCell="A24" workbookViewId="0">
      <selection activeCell="B44" sqref="B44"/>
    </sheetView>
  </sheetViews>
  <sheetFormatPr defaultRowHeight="14.25" x14ac:dyDescent="0.45"/>
  <cols>
    <col min="1" max="1" width="38.86328125" bestFit="1" customWidth="1"/>
    <col min="2" max="2" width="62.73046875" bestFit="1" customWidth="1"/>
    <col min="3" max="3" width="17.265625" style="2" customWidth="1"/>
    <col min="4" max="4" width="22.33203125" style="2" customWidth="1"/>
    <col min="5" max="5" width="20.73046875" style="11" customWidth="1"/>
  </cols>
  <sheetData>
    <row r="1" spans="1:5" x14ac:dyDescent="0.45">
      <c r="A1" s="6" t="s">
        <v>148</v>
      </c>
      <c r="B1" s="6" t="s">
        <v>149</v>
      </c>
      <c r="C1" s="7" t="s">
        <v>150</v>
      </c>
      <c r="D1" s="7" t="s">
        <v>151</v>
      </c>
      <c r="E1" s="6" t="s">
        <v>152</v>
      </c>
    </row>
    <row r="2" spans="1:5" x14ac:dyDescent="0.45">
      <c r="A2" t="s">
        <v>153</v>
      </c>
      <c r="B2" s="10" t="s">
        <v>2</v>
      </c>
      <c r="C2" s="2">
        <v>138.876</v>
      </c>
      <c r="D2" s="2">
        <v>2.343</v>
      </c>
      <c r="E2" s="11">
        <v>1.68711656441718E-2</v>
      </c>
    </row>
    <row r="3" spans="1:5" x14ac:dyDescent="0.45">
      <c r="A3" t="s">
        <v>154</v>
      </c>
      <c r="B3" s="10" t="s">
        <v>5</v>
      </c>
      <c r="C3" s="2">
        <v>482.23200000000003</v>
      </c>
      <c r="D3" s="2">
        <v>28.968</v>
      </c>
      <c r="E3" s="11">
        <v>6.0070671378091897E-2</v>
      </c>
    </row>
    <row r="4" spans="1:5" x14ac:dyDescent="0.45">
      <c r="A4" t="s">
        <v>155</v>
      </c>
      <c r="B4" s="10" t="s">
        <v>6</v>
      </c>
      <c r="C4" s="2">
        <v>647.09399999999994</v>
      </c>
      <c r="D4" s="2">
        <v>31.311</v>
      </c>
      <c r="E4" s="11">
        <v>4.8387096774193603E-2</v>
      </c>
    </row>
    <row r="5" spans="1:5" x14ac:dyDescent="0.45">
      <c r="A5" t="s">
        <v>155</v>
      </c>
      <c r="B5" s="10" t="s">
        <v>8</v>
      </c>
      <c r="C5" s="2">
        <v>1338.7049999999999</v>
      </c>
      <c r="D5" s="2">
        <v>447.3</v>
      </c>
      <c r="E5" s="11">
        <v>0.33412887828162302</v>
      </c>
    </row>
    <row r="6" spans="1:5" x14ac:dyDescent="0.45">
      <c r="A6" t="s">
        <v>156</v>
      </c>
      <c r="B6" s="10" t="s">
        <v>9</v>
      </c>
      <c r="C6" s="2">
        <v>611.52300000000002</v>
      </c>
      <c r="D6" s="2">
        <v>77.745000000000005</v>
      </c>
      <c r="E6" s="11">
        <v>0.12713340299547199</v>
      </c>
    </row>
    <row r="7" spans="1:5" x14ac:dyDescent="0.45">
      <c r="A7" t="s">
        <v>157</v>
      </c>
      <c r="B7" s="10" t="s">
        <v>10</v>
      </c>
      <c r="C7" s="2">
        <v>43.451999999999998</v>
      </c>
      <c r="D7" s="2">
        <v>11.715</v>
      </c>
      <c r="E7" s="11">
        <v>0.269607843137255</v>
      </c>
    </row>
    <row r="8" spans="1:5" x14ac:dyDescent="0.45">
      <c r="A8" t="s">
        <v>155</v>
      </c>
      <c r="B8" s="10" t="s">
        <v>158</v>
      </c>
      <c r="C8" s="2">
        <v>3.1949999999999998</v>
      </c>
      <c r="D8" s="2">
        <v>0.21299999999999999</v>
      </c>
      <c r="E8" s="11">
        <v>6.6666666666666693E-2</v>
      </c>
    </row>
    <row r="9" spans="1:5" x14ac:dyDescent="0.45">
      <c r="A9" t="s">
        <v>159</v>
      </c>
      <c r="B9" s="10" t="s">
        <v>11</v>
      </c>
      <c r="C9" s="2">
        <v>159.75</v>
      </c>
      <c r="D9" s="2">
        <v>15.548999999999999</v>
      </c>
      <c r="E9" s="11">
        <v>9.73333333333333E-2</v>
      </c>
    </row>
    <row r="10" spans="1:5" x14ac:dyDescent="0.45">
      <c r="A10" t="s">
        <v>156</v>
      </c>
      <c r="B10" s="10" t="s">
        <v>160</v>
      </c>
      <c r="C10" s="2">
        <v>11.076000000000001</v>
      </c>
      <c r="D10" s="2">
        <v>0.63900000000000001</v>
      </c>
      <c r="E10" s="11">
        <v>5.7692307692307702E-2</v>
      </c>
    </row>
    <row r="11" spans="1:5" x14ac:dyDescent="0.45">
      <c r="A11" t="s">
        <v>159</v>
      </c>
      <c r="B11" s="10" t="s">
        <v>12</v>
      </c>
      <c r="C11" s="2">
        <v>111.61199999999999</v>
      </c>
      <c r="D11" s="2">
        <v>4.4729999999999999</v>
      </c>
      <c r="E11" s="11">
        <v>4.00763358778626E-2</v>
      </c>
    </row>
    <row r="12" spans="1:5" x14ac:dyDescent="0.45">
      <c r="A12" t="s">
        <v>157</v>
      </c>
      <c r="B12" s="10" t="s">
        <v>161</v>
      </c>
      <c r="C12" s="2">
        <v>15.548999999999999</v>
      </c>
      <c r="D12" s="2">
        <v>0.42599999999999999</v>
      </c>
      <c r="E12" s="11">
        <v>2.7397260273972601E-2</v>
      </c>
    </row>
    <row r="13" spans="1:5" x14ac:dyDescent="0.45">
      <c r="A13" t="s">
        <v>153</v>
      </c>
      <c r="B13" s="10" t="s">
        <v>13</v>
      </c>
      <c r="C13" s="2">
        <v>254.322</v>
      </c>
      <c r="D13" s="2">
        <v>12.78</v>
      </c>
      <c r="E13" s="11">
        <v>5.0251256281407003E-2</v>
      </c>
    </row>
    <row r="14" spans="1:5" x14ac:dyDescent="0.45">
      <c r="A14" t="s">
        <v>154</v>
      </c>
      <c r="B14" s="10" t="s">
        <v>14</v>
      </c>
      <c r="C14" s="2">
        <v>297.98700000000002</v>
      </c>
      <c r="D14" s="2">
        <v>90.950999999999993</v>
      </c>
      <c r="E14" s="11">
        <v>0.30521801286633299</v>
      </c>
    </row>
    <row r="15" spans="1:5" x14ac:dyDescent="0.45">
      <c r="A15" t="s">
        <v>159</v>
      </c>
      <c r="B15" s="10" t="s">
        <v>162</v>
      </c>
      <c r="C15" s="2">
        <v>24.068999999999999</v>
      </c>
      <c r="D15" s="2">
        <v>0.63900000000000001</v>
      </c>
      <c r="E15" s="11">
        <v>2.6548672566371698E-2</v>
      </c>
    </row>
    <row r="16" spans="1:5" x14ac:dyDescent="0.45">
      <c r="A16" t="s">
        <v>153</v>
      </c>
      <c r="B16" s="10" t="s">
        <v>15</v>
      </c>
      <c r="C16" s="2">
        <v>619.83000000000004</v>
      </c>
      <c r="D16" s="2">
        <v>45.582000000000001</v>
      </c>
      <c r="E16" s="11">
        <v>7.3539518900343603E-2</v>
      </c>
    </row>
    <row r="17" spans="1:5" x14ac:dyDescent="0.45">
      <c r="A17" t="s">
        <v>156</v>
      </c>
      <c r="B17" s="10" t="s">
        <v>16</v>
      </c>
      <c r="C17" s="2">
        <v>350.17200000000003</v>
      </c>
      <c r="D17" s="2">
        <v>16.827000000000002</v>
      </c>
      <c r="E17" s="11">
        <v>4.8053527980535297E-2</v>
      </c>
    </row>
    <row r="18" spans="1:5" x14ac:dyDescent="0.45">
      <c r="A18" t="s">
        <v>155</v>
      </c>
      <c r="B18" s="10" t="s">
        <v>17</v>
      </c>
      <c r="C18" s="2">
        <v>243.03299999999999</v>
      </c>
      <c r="D18" s="2">
        <v>17.891999999999999</v>
      </c>
      <c r="E18" s="11">
        <v>7.3619631901840496E-2</v>
      </c>
    </row>
    <row r="19" spans="1:5" x14ac:dyDescent="0.45">
      <c r="A19" t="s">
        <v>157</v>
      </c>
      <c r="B19" s="10" t="s">
        <v>18</v>
      </c>
      <c r="C19" s="2">
        <v>151.22999999999999</v>
      </c>
      <c r="D19" s="2">
        <v>11.502000000000001</v>
      </c>
      <c r="E19" s="11">
        <v>7.6056338028168996E-2</v>
      </c>
    </row>
    <row r="20" spans="1:5" x14ac:dyDescent="0.45">
      <c r="A20" t="s">
        <v>155</v>
      </c>
      <c r="B20" s="10" t="s">
        <v>163</v>
      </c>
      <c r="C20" s="2">
        <v>3.8340000000000001</v>
      </c>
      <c r="D20" s="2">
        <v>0.21299999999999999</v>
      </c>
      <c r="E20" s="11">
        <v>5.5555555555555601E-2</v>
      </c>
    </row>
    <row r="21" spans="1:5" x14ac:dyDescent="0.45">
      <c r="A21" t="s">
        <v>153</v>
      </c>
      <c r="B21" s="10" t="s">
        <v>164</v>
      </c>
      <c r="C21" s="2">
        <v>10.65</v>
      </c>
      <c r="D21" s="2">
        <v>0.85199999999999998</v>
      </c>
      <c r="E21" s="11">
        <v>0.08</v>
      </c>
    </row>
    <row r="22" spans="1:5" x14ac:dyDescent="0.45">
      <c r="A22" t="s">
        <v>165</v>
      </c>
      <c r="B22" s="10" t="s">
        <v>20</v>
      </c>
      <c r="C22" s="2">
        <v>36.423000000000002</v>
      </c>
      <c r="D22" s="2">
        <v>0.85199999999999998</v>
      </c>
      <c r="E22" s="11">
        <v>2.3391812865497099E-2</v>
      </c>
    </row>
    <row r="23" spans="1:5" x14ac:dyDescent="0.45">
      <c r="A23" t="s">
        <v>159</v>
      </c>
      <c r="B23" s="10" t="s">
        <v>21</v>
      </c>
      <c r="C23" s="2">
        <v>218.32499999999999</v>
      </c>
      <c r="D23" s="2">
        <v>1.704</v>
      </c>
      <c r="E23" s="11">
        <v>7.8048780487804904E-3</v>
      </c>
    </row>
    <row r="24" spans="1:5" x14ac:dyDescent="0.45">
      <c r="A24" t="s">
        <v>153</v>
      </c>
      <c r="B24" s="10" t="s">
        <v>22</v>
      </c>
      <c r="C24" s="2">
        <v>648.37199999999996</v>
      </c>
      <c r="D24" s="2">
        <v>2.7690000000000001</v>
      </c>
      <c r="E24" s="11">
        <v>4.27069645203679E-3</v>
      </c>
    </row>
    <row r="25" spans="1:5" x14ac:dyDescent="0.45">
      <c r="A25" t="s">
        <v>155</v>
      </c>
      <c r="B25" s="10" t="s">
        <v>23</v>
      </c>
      <c r="C25" s="2">
        <v>450.06900000000002</v>
      </c>
      <c r="D25" s="2">
        <v>0.42599999999999999</v>
      </c>
      <c r="E25" s="11">
        <v>9.4652153336488402E-4</v>
      </c>
    </row>
    <row r="26" spans="1:5" x14ac:dyDescent="0.45">
      <c r="A26" t="s">
        <v>154</v>
      </c>
      <c r="B26" s="10" t="s">
        <v>24</v>
      </c>
      <c r="C26" s="2">
        <v>423.44400000000002</v>
      </c>
      <c r="D26" s="2">
        <v>1.4910000000000001</v>
      </c>
      <c r="E26" s="11">
        <v>3.5211267605633799E-3</v>
      </c>
    </row>
    <row r="27" spans="1:5" x14ac:dyDescent="0.45">
      <c r="A27" t="s">
        <v>159</v>
      </c>
      <c r="B27" s="10" t="s">
        <v>166</v>
      </c>
      <c r="C27" s="2">
        <v>100.536</v>
      </c>
      <c r="D27" s="2">
        <v>71.994</v>
      </c>
      <c r="E27" s="11">
        <v>0.71610169491525399</v>
      </c>
    </row>
    <row r="28" spans="1:5" x14ac:dyDescent="0.45">
      <c r="A28" t="s">
        <v>153</v>
      </c>
      <c r="B28" s="10" t="s">
        <v>25</v>
      </c>
      <c r="C28" s="2">
        <v>491.81700000000001</v>
      </c>
      <c r="D28" s="2">
        <v>27.902999999999999</v>
      </c>
      <c r="E28" s="11">
        <v>5.67345171069727E-2</v>
      </c>
    </row>
    <row r="29" spans="1:5" x14ac:dyDescent="0.45">
      <c r="A29" t="s">
        <v>165</v>
      </c>
      <c r="B29" s="10" t="s">
        <v>26</v>
      </c>
      <c r="C29" s="2">
        <v>159.11099999999999</v>
      </c>
      <c r="D29" s="2">
        <v>12.993</v>
      </c>
      <c r="E29" s="11">
        <v>8.1659973226238303E-2</v>
      </c>
    </row>
    <row r="30" spans="1:5" x14ac:dyDescent="0.45">
      <c r="A30" t="s">
        <v>159</v>
      </c>
      <c r="B30" s="10" t="s">
        <v>27</v>
      </c>
      <c r="C30" s="2">
        <v>145.47900000000001</v>
      </c>
      <c r="D30" s="2">
        <v>0.42599999999999999</v>
      </c>
      <c r="E30" s="11">
        <v>2.9282576866764302E-3</v>
      </c>
    </row>
    <row r="31" spans="1:5" x14ac:dyDescent="0.45">
      <c r="A31" t="s">
        <v>154</v>
      </c>
      <c r="B31" s="10" t="s">
        <v>28</v>
      </c>
      <c r="C31" s="2">
        <v>1417.941</v>
      </c>
      <c r="D31" s="2">
        <v>181.90199999999999</v>
      </c>
      <c r="E31" s="11">
        <v>0.12828601472134599</v>
      </c>
    </row>
    <row r="32" spans="1:5" x14ac:dyDescent="0.45">
      <c r="A32" t="s">
        <v>156</v>
      </c>
      <c r="B32" s="10" t="s">
        <v>30</v>
      </c>
      <c r="C32" s="2">
        <v>492.03</v>
      </c>
      <c r="D32" s="2">
        <v>27.050999999999998</v>
      </c>
      <c r="E32" s="11">
        <v>5.4978354978355001E-2</v>
      </c>
    </row>
    <row r="33" spans="1:5" x14ac:dyDescent="0.45">
      <c r="A33" t="s">
        <v>154</v>
      </c>
      <c r="B33" s="10" t="s">
        <v>31</v>
      </c>
      <c r="C33" s="2">
        <v>668.18100000000004</v>
      </c>
      <c r="D33" s="2">
        <v>86.903999999999996</v>
      </c>
      <c r="E33" s="11">
        <v>0.130060567421103</v>
      </c>
    </row>
    <row r="34" spans="1:5" x14ac:dyDescent="0.45">
      <c r="A34" t="s">
        <v>156</v>
      </c>
      <c r="B34" s="10" t="s">
        <v>32</v>
      </c>
      <c r="C34" s="2">
        <v>557.42099999999994</v>
      </c>
      <c r="D34" s="2">
        <v>218.751</v>
      </c>
      <c r="E34" s="11">
        <v>0.39243408482995801</v>
      </c>
    </row>
    <row r="35" spans="1:5" x14ac:dyDescent="0.45">
      <c r="A35" t="s">
        <v>155</v>
      </c>
      <c r="B35" s="10" t="s">
        <v>33</v>
      </c>
      <c r="C35" s="2">
        <v>306.93299999999999</v>
      </c>
      <c r="D35" s="2">
        <v>8.0939999999999994</v>
      </c>
      <c r="E35" s="11">
        <v>2.63705759888966E-2</v>
      </c>
    </row>
    <row r="36" spans="1:5" x14ac:dyDescent="0.45">
      <c r="A36" t="s">
        <v>159</v>
      </c>
      <c r="B36" s="10" t="s">
        <v>167</v>
      </c>
      <c r="C36" s="2">
        <v>46.220999999999997</v>
      </c>
      <c r="D36" s="2">
        <v>1.917</v>
      </c>
      <c r="E36" s="11">
        <v>4.1474654377880199E-2</v>
      </c>
    </row>
    <row r="37" spans="1:5" x14ac:dyDescent="0.45">
      <c r="A37" t="s">
        <v>156</v>
      </c>
      <c r="B37" s="10" t="s">
        <v>168</v>
      </c>
      <c r="C37" s="2">
        <v>67.521000000000001</v>
      </c>
      <c r="D37" s="2">
        <v>1.4910000000000001</v>
      </c>
      <c r="E37" s="11">
        <v>2.20820189274448E-2</v>
      </c>
    </row>
    <row r="38" spans="1:5" x14ac:dyDescent="0.45">
      <c r="A38" t="s">
        <v>154</v>
      </c>
      <c r="B38" s="10" t="s">
        <v>34</v>
      </c>
      <c r="C38" s="2">
        <v>293.72699999999998</v>
      </c>
      <c r="D38" s="2">
        <v>11.715</v>
      </c>
      <c r="E38" s="11">
        <v>3.98839738941262E-2</v>
      </c>
    </row>
    <row r="39" spans="1:5" x14ac:dyDescent="0.45">
      <c r="A39" t="s">
        <v>159</v>
      </c>
      <c r="B39" s="10" t="s">
        <v>169</v>
      </c>
      <c r="C39" s="2">
        <v>80.94</v>
      </c>
      <c r="D39" s="2">
        <v>9.798</v>
      </c>
      <c r="E39" s="11">
        <v>0.121052631578947</v>
      </c>
    </row>
    <row r="40" spans="1:5" x14ac:dyDescent="0.45">
      <c r="A40" t="s">
        <v>153</v>
      </c>
      <c r="B40" s="10" t="s">
        <v>35</v>
      </c>
      <c r="C40" s="2">
        <v>73.911000000000001</v>
      </c>
      <c r="D40" s="2">
        <v>0.63900000000000001</v>
      </c>
      <c r="E40" s="11">
        <v>8.6455331412103806E-3</v>
      </c>
    </row>
    <row r="41" spans="1:5" x14ac:dyDescent="0.45">
      <c r="A41" t="s">
        <v>157</v>
      </c>
      <c r="B41" s="10" t="s">
        <v>36</v>
      </c>
      <c r="C41" s="2">
        <v>96.489000000000004</v>
      </c>
      <c r="D41" s="2">
        <v>2.343</v>
      </c>
      <c r="E41" s="11">
        <v>2.42825607064018E-2</v>
      </c>
    </row>
    <row r="42" spans="1:5" x14ac:dyDescent="0.45">
      <c r="A42" t="s">
        <v>157</v>
      </c>
      <c r="B42" s="10" t="s">
        <v>170</v>
      </c>
      <c r="C42" s="2">
        <v>5.5380000000000003</v>
      </c>
      <c r="D42" s="2">
        <v>0.63900000000000001</v>
      </c>
      <c r="E42" s="11">
        <v>0.115384615384615</v>
      </c>
    </row>
    <row r="43" spans="1:5" x14ac:dyDescent="0.45">
      <c r="A43" t="s">
        <v>165</v>
      </c>
      <c r="B43" s="10" t="s">
        <v>37</v>
      </c>
      <c r="C43" s="2">
        <v>580.42499999999995</v>
      </c>
      <c r="D43" s="2">
        <v>99.471000000000004</v>
      </c>
      <c r="E43" s="11">
        <v>0.17137614678899099</v>
      </c>
    </row>
    <row r="44" spans="1:5" x14ac:dyDescent="0.45">
      <c r="A44" t="s">
        <v>155</v>
      </c>
      <c r="B44" s="10" t="s">
        <v>38</v>
      </c>
      <c r="C44" s="2">
        <v>236.00399999999999</v>
      </c>
      <c r="D44" s="2">
        <v>108.843</v>
      </c>
      <c r="E44" s="11">
        <v>0.46119133574007198</v>
      </c>
    </row>
    <row r="45" spans="1:5" x14ac:dyDescent="0.45">
      <c r="A45" t="s">
        <v>155</v>
      </c>
      <c r="B45" s="10" t="s">
        <v>40</v>
      </c>
      <c r="C45" s="2">
        <v>1118.8889999999999</v>
      </c>
      <c r="D45" s="2">
        <v>255.81299999999999</v>
      </c>
      <c r="E45" s="11">
        <v>0.22863125832857401</v>
      </c>
    </row>
    <row r="46" spans="1:5" x14ac:dyDescent="0.45">
      <c r="A46" t="s">
        <v>154</v>
      </c>
      <c r="B46" s="10" t="s">
        <v>41</v>
      </c>
      <c r="C46" s="2">
        <v>810.678</v>
      </c>
      <c r="D46" s="2">
        <v>336.75299999999999</v>
      </c>
      <c r="E46" s="11">
        <v>0.41539674198633703</v>
      </c>
    </row>
    <row r="47" spans="1:5" x14ac:dyDescent="0.45">
      <c r="A47" t="s">
        <v>154</v>
      </c>
      <c r="B47" s="10" t="s">
        <v>42</v>
      </c>
      <c r="C47" s="2">
        <v>253.89599999999999</v>
      </c>
      <c r="D47" s="2">
        <v>2.13</v>
      </c>
      <c r="E47" s="11">
        <v>8.3892617449664395E-3</v>
      </c>
    </row>
    <row r="48" spans="1:5" x14ac:dyDescent="0.45">
      <c r="A48" t="s">
        <v>153</v>
      </c>
      <c r="B48" s="10" t="s">
        <v>43</v>
      </c>
      <c r="C48" s="2">
        <v>322.26900000000001</v>
      </c>
      <c r="D48" s="2">
        <v>133.33799999999999</v>
      </c>
      <c r="E48" s="11">
        <v>0.41374752148050198</v>
      </c>
    </row>
    <row r="49" spans="1:5" x14ac:dyDescent="0.45">
      <c r="A49" t="s">
        <v>154</v>
      </c>
      <c r="B49" s="10" t="s">
        <v>44</v>
      </c>
      <c r="C49" s="2">
        <v>709.92899999999997</v>
      </c>
      <c r="D49" s="2">
        <v>0.42599999999999999</v>
      </c>
      <c r="E49" s="11">
        <v>6.000600060006E-4</v>
      </c>
    </row>
    <row r="50" spans="1:5" x14ac:dyDescent="0.45">
      <c r="A50" t="s">
        <v>155</v>
      </c>
      <c r="B50" s="10" t="s">
        <v>45</v>
      </c>
      <c r="C50" s="2">
        <v>417.90600000000001</v>
      </c>
      <c r="D50" s="2">
        <v>138.23699999999999</v>
      </c>
      <c r="E50" s="11">
        <v>0.33078491335372101</v>
      </c>
    </row>
    <row r="51" spans="1:5" x14ac:dyDescent="0.45">
      <c r="A51" t="s">
        <v>153</v>
      </c>
      <c r="B51" s="10" t="s">
        <v>46</v>
      </c>
      <c r="C51" s="2">
        <v>635.80499999999995</v>
      </c>
      <c r="D51" s="2">
        <v>11.928000000000001</v>
      </c>
      <c r="E51" s="11">
        <v>1.87604690117253E-2</v>
      </c>
    </row>
    <row r="52" spans="1:5" x14ac:dyDescent="0.45">
      <c r="A52" t="s">
        <v>155</v>
      </c>
      <c r="B52" s="10" t="s">
        <v>47</v>
      </c>
      <c r="C52" s="2">
        <v>976.39199999999994</v>
      </c>
      <c r="D52" s="2">
        <v>151.22999999999999</v>
      </c>
      <c r="E52" s="11">
        <v>0.154886561954625</v>
      </c>
    </row>
    <row r="53" spans="1:5" x14ac:dyDescent="0.45">
      <c r="A53" t="s">
        <v>154</v>
      </c>
      <c r="B53" s="10" t="s">
        <v>48</v>
      </c>
      <c r="C53" s="2">
        <v>949.55399999999997</v>
      </c>
      <c r="D53" s="2">
        <v>2.343</v>
      </c>
      <c r="E53" s="11">
        <v>2.4674742036787799E-3</v>
      </c>
    </row>
    <row r="54" spans="1:5" x14ac:dyDescent="0.45">
      <c r="A54" t="s">
        <v>154</v>
      </c>
      <c r="B54" s="10" t="s">
        <v>49</v>
      </c>
      <c r="C54" s="2">
        <v>79.022999999999996</v>
      </c>
      <c r="D54" s="2">
        <v>1.278</v>
      </c>
      <c r="E54" s="11">
        <v>1.61725067385445E-2</v>
      </c>
    </row>
    <row r="55" spans="1:5" x14ac:dyDescent="0.45">
      <c r="A55" t="s">
        <v>156</v>
      </c>
      <c r="B55" s="10" t="s">
        <v>50</v>
      </c>
      <c r="C55" s="2">
        <v>269.87099999999998</v>
      </c>
      <c r="D55" s="2">
        <v>11.289</v>
      </c>
      <c r="E55" s="11">
        <v>4.1831097079715898E-2</v>
      </c>
    </row>
    <row r="56" spans="1:5" x14ac:dyDescent="0.45">
      <c r="A56" t="s">
        <v>157</v>
      </c>
      <c r="B56" s="10" t="s">
        <v>51</v>
      </c>
      <c r="C56" s="2">
        <v>440.48399999999998</v>
      </c>
      <c r="D56" s="2">
        <v>98.619</v>
      </c>
      <c r="E56" s="11">
        <v>0.22388781431334601</v>
      </c>
    </row>
    <row r="57" spans="1:5" x14ac:dyDescent="0.45">
      <c r="A57" t="s">
        <v>154</v>
      </c>
      <c r="B57" s="10" t="s">
        <v>171</v>
      </c>
      <c r="C57" s="2">
        <v>0.21299999999999999</v>
      </c>
      <c r="D57" s="2">
        <v>0.21299999999999999</v>
      </c>
      <c r="E57" s="11">
        <v>1</v>
      </c>
    </row>
    <row r="58" spans="1:5" x14ac:dyDescent="0.45">
      <c r="A58" t="s">
        <v>155</v>
      </c>
      <c r="B58" s="10" t="s">
        <v>52</v>
      </c>
      <c r="C58" s="2">
        <v>866.697</v>
      </c>
      <c r="D58" s="2">
        <v>264.33300000000003</v>
      </c>
      <c r="E58" s="11">
        <v>0.30498894077168798</v>
      </c>
    </row>
    <row r="59" spans="1:5" x14ac:dyDescent="0.45">
      <c r="A59" t="s">
        <v>155</v>
      </c>
      <c r="B59" s="10" t="s">
        <v>53</v>
      </c>
      <c r="C59" s="2">
        <v>464.97899999999998</v>
      </c>
      <c r="D59" s="2">
        <v>69.438000000000002</v>
      </c>
      <c r="E59" s="11">
        <v>0.149335776454421</v>
      </c>
    </row>
    <row r="60" spans="1:5" x14ac:dyDescent="0.45">
      <c r="A60" t="s">
        <v>159</v>
      </c>
      <c r="B60" s="10" t="s">
        <v>172</v>
      </c>
      <c r="C60" s="2">
        <v>43.451999999999998</v>
      </c>
      <c r="D60" s="2">
        <v>1.917</v>
      </c>
      <c r="E60" s="11">
        <v>4.4117647058823498E-2</v>
      </c>
    </row>
    <row r="61" spans="1:5" x14ac:dyDescent="0.45">
      <c r="A61" t="s">
        <v>159</v>
      </c>
      <c r="B61" s="10" t="s">
        <v>54</v>
      </c>
      <c r="C61" s="2">
        <v>415.77600000000001</v>
      </c>
      <c r="D61" s="2">
        <v>71.355000000000004</v>
      </c>
      <c r="E61" s="11">
        <v>0.17161885245901601</v>
      </c>
    </row>
    <row r="62" spans="1:5" x14ac:dyDescent="0.45">
      <c r="A62" t="s">
        <v>153</v>
      </c>
      <c r="B62" s="10" t="s">
        <v>55</v>
      </c>
      <c r="C62" s="2">
        <v>809.18700000000001</v>
      </c>
      <c r="D62" s="2">
        <v>77.105999999999995</v>
      </c>
      <c r="E62" s="11">
        <v>9.5288233745722595E-2</v>
      </c>
    </row>
    <row r="63" spans="1:5" x14ac:dyDescent="0.45">
      <c r="A63" t="s">
        <v>155</v>
      </c>
      <c r="B63" s="10" t="s">
        <v>56</v>
      </c>
      <c r="C63" s="2">
        <v>899.92499999999995</v>
      </c>
      <c r="D63" s="2">
        <v>282.86399999999998</v>
      </c>
      <c r="E63" s="11">
        <v>0.31431952662721901</v>
      </c>
    </row>
    <row r="64" spans="1:5" x14ac:dyDescent="0.45">
      <c r="A64" t="s">
        <v>159</v>
      </c>
      <c r="B64" s="10" t="s">
        <v>57</v>
      </c>
      <c r="C64" s="2">
        <v>187.44</v>
      </c>
      <c r="D64" s="2">
        <v>17.04</v>
      </c>
      <c r="E64" s="11">
        <v>9.0909090909090898E-2</v>
      </c>
    </row>
    <row r="65" spans="1:5" x14ac:dyDescent="0.45">
      <c r="A65" t="s">
        <v>159</v>
      </c>
      <c r="B65" s="10" t="s">
        <v>58</v>
      </c>
      <c r="C65" s="2">
        <v>408.96</v>
      </c>
      <c r="D65" s="2">
        <v>1.0649999999999999</v>
      </c>
      <c r="E65" s="11">
        <v>2.60416666666667E-3</v>
      </c>
    </row>
    <row r="66" spans="1:5" x14ac:dyDescent="0.45">
      <c r="A66" t="s">
        <v>155</v>
      </c>
      <c r="B66" s="10" t="s">
        <v>173</v>
      </c>
      <c r="C66" s="2">
        <v>8.9459999999999997</v>
      </c>
      <c r="D66" s="2">
        <v>1.0649999999999999</v>
      </c>
      <c r="E66" s="11">
        <v>0.119047619047619</v>
      </c>
    </row>
    <row r="67" spans="1:5" x14ac:dyDescent="0.45">
      <c r="A67" t="s">
        <v>155</v>
      </c>
      <c r="B67" s="10" t="s">
        <v>59</v>
      </c>
      <c r="C67" s="2">
        <v>685.00800000000004</v>
      </c>
      <c r="D67" s="2">
        <v>34.719000000000001</v>
      </c>
      <c r="E67" s="11">
        <v>5.0684079601989999E-2</v>
      </c>
    </row>
    <row r="68" spans="1:5" x14ac:dyDescent="0.45">
      <c r="A68" t="s">
        <v>154</v>
      </c>
      <c r="B68" s="10" t="s">
        <v>60</v>
      </c>
      <c r="C68" s="2">
        <v>324.82499999999999</v>
      </c>
      <c r="D68" s="2">
        <v>13.206</v>
      </c>
      <c r="E68" s="11">
        <v>4.0655737704918003E-2</v>
      </c>
    </row>
    <row r="69" spans="1:5" x14ac:dyDescent="0.45">
      <c r="A69" t="s">
        <v>159</v>
      </c>
      <c r="B69" s="10" t="s">
        <v>61</v>
      </c>
      <c r="C69" s="2">
        <v>1447.335</v>
      </c>
      <c r="D69" s="2">
        <v>290.53199999999998</v>
      </c>
      <c r="E69" s="11">
        <v>0.20073583517292101</v>
      </c>
    </row>
    <row r="70" spans="1:5" x14ac:dyDescent="0.45">
      <c r="A70" t="s">
        <v>155</v>
      </c>
      <c r="B70" s="10" t="s">
        <v>174</v>
      </c>
      <c r="C70" s="2">
        <v>14.91</v>
      </c>
      <c r="D70" s="2">
        <v>7.4550000000000001</v>
      </c>
      <c r="E70" s="11">
        <v>0.5</v>
      </c>
    </row>
    <row r="71" spans="1:5" x14ac:dyDescent="0.45">
      <c r="A71" t="s">
        <v>154</v>
      </c>
      <c r="B71" s="10" t="s">
        <v>175</v>
      </c>
      <c r="C71" s="2">
        <v>217.68600000000001</v>
      </c>
      <c r="D71" s="2">
        <v>5.3250000000000002</v>
      </c>
      <c r="E71" s="11">
        <v>2.44618395303327E-2</v>
      </c>
    </row>
    <row r="72" spans="1:5" x14ac:dyDescent="0.45">
      <c r="A72" t="s">
        <v>154</v>
      </c>
      <c r="B72" s="10" t="s">
        <v>62</v>
      </c>
      <c r="C72" s="2">
        <v>282.65100000000001</v>
      </c>
      <c r="D72" s="2">
        <v>3.621</v>
      </c>
      <c r="E72" s="11">
        <v>1.2810851544837999E-2</v>
      </c>
    </row>
    <row r="73" spans="1:5" x14ac:dyDescent="0.45">
      <c r="A73" t="s">
        <v>157</v>
      </c>
      <c r="B73" s="10" t="s">
        <v>176</v>
      </c>
      <c r="C73" s="2">
        <v>26.838000000000001</v>
      </c>
      <c r="D73" s="2">
        <v>5.9640000000000004</v>
      </c>
      <c r="E73" s="11">
        <v>0.22222222222222199</v>
      </c>
    </row>
    <row r="74" spans="1:5" x14ac:dyDescent="0.45">
      <c r="A74" t="s">
        <v>159</v>
      </c>
      <c r="B74" s="10" t="s">
        <v>63</v>
      </c>
      <c r="C74" s="2">
        <v>366.99900000000002</v>
      </c>
      <c r="D74" s="2">
        <v>6.8159999999999998</v>
      </c>
      <c r="E74" s="11">
        <v>1.8572257690075401E-2</v>
      </c>
    </row>
    <row r="75" spans="1:5" x14ac:dyDescent="0.45">
      <c r="A75" t="s">
        <v>154</v>
      </c>
      <c r="B75" s="10" t="s">
        <v>177</v>
      </c>
      <c r="C75" s="2">
        <v>209.166</v>
      </c>
      <c r="D75" s="2">
        <v>29.606999999999999</v>
      </c>
      <c r="E75" s="11">
        <v>0.141547861507128</v>
      </c>
    </row>
    <row r="76" spans="1:5" x14ac:dyDescent="0.45">
      <c r="A76" t="s">
        <v>159</v>
      </c>
      <c r="B76" s="10" t="s">
        <v>64</v>
      </c>
      <c r="C76" s="2">
        <v>466.89600000000002</v>
      </c>
      <c r="D76" s="2">
        <v>10.224</v>
      </c>
      <c r="E76" s="11">
        <v>2.18978102189781E-2</v>
      </c>
    </row>
    <row r="77" spans="1:5" x14ac:dyDescent="0.45">
      <c r="A77" t="s">
        <v>153</v>
      </c>
      <c r="B77" s="10" t="s">
        <v>65</v>
      </c>
      <c r="C77" s="2">
        <v>621.74699999999996</v>
      </c>
      <c r="D77" s="2">
        <v>0.21299999999999999</v>
      </c>
      <c r="E77" s="11">
        <v>3.4258307639602599E-4</v>
      </c>
    </row>
    <row r="78" spans="1:5" x14ac:dyDescent="0.45">
      <c r="A78" t="s">
        <v>156</v>
      </c>
      <c r="B78" s="10" t="s">
        <v>66</v>
      </c>
      <c r="C78" s="2">
        <v>1610.9190000000001</v>
      </c>
      <c r="D78" s="2">
        <v>273.06599999999997</v>
      </c>
      <c r="E78" s="11">
        <v>0.16950945392040201</v>
      </c>
    </row>
    <row r="79" spans="1:5" x14ac:dyDescent="0.45">
      <c r="A79" t="s">
        <v>156</v>
      </c>
      <c r="B79" s="10" t="s">
        <v>67</v>
      </c>
      <c r="C79" s="2">
        <v>210.65700000000001</v>
      </c>
      <c r="D79" s="2">
        <v>4.0469999999999997</v>
      </c>
      <c r="E79" s="11">
        <v>1.9211324570273001E-2</v>
      </c>
    </row>
    <row r="80" spans="1:5" x14ac:dyDescent="0.45">
      <c r="A80" t="s">
        <v>155</v>
      </c>
      <c r="B80" s="10" t="s">
        <v>68</v>
      </c>
      <c r="C80" s="2">
        <v>29.82</v>
      </c>
      <c r="D80" s="2">
        <v>0.42599999999999999</v>
      </c>
      <c r="E80" s="11">
        <v>1.4285714285714299E-2</v>
      </c>
    </row>
    <row r="81" spans="1:5" x14ac:dyDescent="0.45">
      <c r="A81" t="s">
        <v>165</v>
      </c>
      <c r="B81" s="10" t="s">
        <v>178</v>
      </c>
      <c r="C81" s="2">
        <v>20.873999999999999</v>
      </c>
      <c r="D81" s="2">
        <v>3.621</v>
      </c>
      <c r="E81" s="11">
        <v>0.17346938775510201</v>
      </c>
    </row>
    <row r="82" spans="1:5" x14ac:dyDescent="0.45">
      <c r="A82" t="s">
        <v>156</v>
      </c>
      <c r="B82" s="10" t="s">
        <v>69</v>
      </c>
      <c r="C82" s="2">
        <v>991.08899999999994</v>
      </c>
      <c r="D82" s="2">
        <v>204.69300000000001</v>
      </c>
      <c r="E82" s="11">
        <v>0.20653341929937699</v>
      </c>
    </row>
    <row r="83" spans="1:5" x14ac:dyDescent="0.45">
      <c r="A83" t="s">
        <v>165</v>
      </c>
      <c r="B83" s="10" t="s">
        <v>70</v>
      </c>
      <c r="C83" s="2">
        <v>549.54</v>
      </c>
      <c r="D83" s="2">
        <v>0.42599999999999999</v>
      </c>
      <c r="E83" s="11">
        <v>7.7519379844961196E-4</v>
      </c>
    </row>
    <row r="84" spans="1:5" x14ac:dyDescent="0.45">
      <c r="A84" t="s">
        <v>153</v>
      </c>
      <c r="B84" s="10" t="s">
        <v>179</v>
      </c>
      <c r="C84" s="2">
        <v>455.82</v>
      </c>
      <c r="D84" s="2">
        <v>10.436999999999999</v>
      </c>
      <c r="E84" s="11">
        <v>2.2897196261682198E-2</v>
      </c>
    </row>
    <row r="85" spans="1:5" x14ac:dyDescent="0.45">
      <c r="A85" t="s">
        <v>154</v>
      </c>
      <c r="B85" s="10" t="s">
        <v>180</v>
      </c>
      <c r="C85" s="2">
        <v>14.271000000000001</v>
      </c>
      <c r="D85" s="2">
        <v>0.21299999999999999</v>
      </c>
      <c r="E85" s="11">
        <v>1.49253731343284E-2</v>
      </c>
    </row>
    <row r="86" spans="1:5" x14ac:dyDescent="0.45">
      <c r="A86" t="s">
        <v>153</v>
      </c>
      <c r="B86" s="10" t="s">
        <v>72</v>
      </c>
      <c r="C86" s="2">
        <v>224.928</v>
      </c>
      <c r="D86" s="2">
        <v>31.311</v>
      </c>
      <c r="E86" s="11">
        <v>0.139204545454545</v>
      </c>
    </row>
    <row r="87" spans="1:5" x14ac:dyDescent="0.45">
      <c r="A87" t="s">
        <v>156</v>
      </c>
      <c r="B87" s="10" t="s">
        <v>73</v>
      </c>
      <c r="C87" s="2">
        <v>518.22900000000004</v>
      </c>
      <c r="D87" s="2">
        <v>119.706</v>
      </c>
      <c r="E87" s="11">
        <v>0.230990546650226</v>
      </c>
    </row>
    <row r="88" spans="1:5" x14ac:dyDescent="0.45">
      <c r="A88" t="s">
        <v>157</v>
      </c>
      <c r="B88" s="10" t="s">
        <v>74</v>
      </c>
      <c r="C88" s="2">
        <v>634.95299999999997</v>
      </c>
      <c r="D88" s="2">
        <v>92.228999999999999</v>
      </c>
      <c r="E88" s="11">
        <v>0.14525327071452501</v>
      </c>
    </row>
    <row r="89" spans="1:5" x14ac:dyDescent="0.45">
      <c r="A89" t="s">
        <v>159</v>
      </c>
      <c r="B89" s="10" t="s">
        <v>75</v>
      </c>
      <c r="C89" s="2">
        <v>1439.454</v>
      </c>
      <c r="D89" s="2">
        <v>54.314999999999998</v>
      </c>
      <c r="E89" s="11">
        <v>3.77330571174904E-2</v>
      </c>
    </row>
    <row r="90" spans="1:5" x14ac:dyDescent="0.45">
      <c r="A90" t="s">
        <v>153</v>
      </c>
      <c r="B90" s="10" t="s">
        <v>76</v>
      </c>
      <c r="C90" s="2">
        <v>1149.5609999999999</v>
      </c>
      <c r="D90" s="2">
        <v>283.077</v>
      </c>
      <c r="E90" s="11">
        <v>0.24624791550861599</v>
      </c>
    </row>
    <row r="91" spans="1:5" x14ac:dyDescent="0.45">
      <c r="A91" t="s">
        <v>153</v>
      </c>
      <c r="B91" s="10" t="s">
        <v>77</v>
      </c>
      <c r="C91" s="2">
        <v>465.83100000000002</v>
      </c>
      <c r="D91" s="2">
        <v>4.6859999999999999</v>
      </c>
      <c r="E91" s="11">
        <v>1.00594421582076E-2</v>
      </c>
    </row>
    <row r="92" spans="1:5" x14ac:dyDescent="0.45">
      <c r="A92" t="s">
        <v>157</v>
      </c>
      <c r="B92" s="10" t="s">
        <v>78</v>
      </c>
      <c r="C92" s="2">
        <v>992.36699999999996</v>
      </c>
      <c r="D92" s="2">
        <v>211.50899999999999</v>
      </c>
      <c r="E92" s="11">
        <v>0.213135866065679</v>
      </c>
    </row>
    <row r="93" spans="1:5" x14ac:dyDescent="0.45">
      <c r="A93" t="s">
        <v>157</v>
      </c>
      <c r="B93" s="10" t="s">
        <v>181</v>
      </c>
      <c r="C93" s="2">
        <v>7.242</v>
      </c>
      <c r="D93" s="2">
        <v>1.278</v>
      </c>
      <c r="E93" s="11">
        <v>0.17647058823529399</v>
      </c>
    </row>
    <row r="94" spans="1:5" x14ac:dyDescent="0.45">
      <c r="A94" t="s">
        <v>153</v>
      </c>
      <c r="B94" s="10" t="s">
        <v>182</v>
      </c>
      <c r="C94" s="2">
        <v>11.076000000000001</v>
      </c>
      <c r="D94" s="2">
        <v>0.42599999999999999</v>
      </c>
      <c r="E94" s="11">
        <v>3.8461538461538498E-2</v>
      </c>
    </row>
    <row r="95" spans="1:5" x14ac:dyDescent="0.45">
      <c r="A95" t="s">
        <v>157</v>
      </c>
      <c r="B95" s="10" t="s">
        <v>183</v>
      </c>
      <c r="C95" s="2">
        <v>7.6680000000000001</v>
      </c>
      <c r="D95" s="2">
        <v>0.63900000000000001</v>
      </c>
      <c r="E95" s="11">
        <v>8.3333333333333301E-2</v>
      </c>
    </row>
    <row r="96" spans="1:5" x14ac:dyDescent="0.45">
      <c r="A96" t="s">
        <v>153</v>
      </c>
      <c r="B96" s="10" t="s">
        <v>184</v>
      </c>
      <c r="C96" s="2">
        <v>3.4079999999999999</v>
      </c>
      <c r="D96" s="2">
        <v>0.21299999999999999</v>
      </c>
      <c r="E96" s="11">
        <v>6.25E-2</v>
      </c>
    </row>
    <row r="97" spans="1:5" x14ac:dyDescent="0.45">
      <c r="A97" t="s">
        <v>153</v>
      </c>
      <c r="B97" s="10" t="s">
        <v>185</v>
      </c>
      <c r="C97" s="2">
        <v>3.4079999999999999</v>
      </c>
      <c r="D97" s="2">
        <v>0.63900000000000001</v>
      </c>
      <c r="E97" s="11">
        <v>0.1875</v>
      </c>
    </row>
    <row r="98" spans="1:5" x14ac:dyDescent="0.45">
      <c r="A98" t="s">
        <v>159</v>
      </c>
      <c r="B98" s="10" t="s">
        <v>186</v>
      </c>
      <c r="C98" s="2">
        <v>31.097999999999999</v>
      </c>
      <c r="D98" s="2">
        <v>1.0649999999999999</v>
      </c>
      <c r="E98" s="11">
        <v>3.42465753424658E-2</v>
      </c>
    </row>
    <row r="99" spans="1:5" x14ac:dyDescent="0.45">
      <c r="A99" t="s">
        <v>159</v>
      </c>
      <c r="B99" s="10" t="s">
        <v>187</v>
      </c>
      <c r="C99" s="2">
        <v>149.52600000000001</v>
      </c>
      <c r="D99" s="2">
        <v>74.337000000000003</v>
      </c>
      <c r="E99" s="11">
        <v>0.49715099715099698</v>
      </c>
    </row>
    <row r="100" spans="1:5" x14ac:dyDescent="0.45">
      <c r="A100" t="s">
        <v>154</v>
      </c>
      <c r="B100" s="10" t="s">
        <v>80</v>
      </c>
      <c r="C100" s="2">
        <v>1187.049</v>
      </c>
      <c r="D100" s="2">
        <v>134.40299999999999</v>
      </c>
      <c r="E100" s="11">
        <v>0.11322447514803501</v>
      </c>
    </row>
    <row r="101" spans="1:5" x14ac:dyDescent="0.45">
      <c r="A101" t="s">
        <v>153</v>
      </c>
      <c r="B101" s="10" t="s">
        <v>188</v>
      </c>
      <c r="C101" s="2">
        <v>8.52</v>
      </c>
      <c r="D101" s="2">
        <v>3.4079999999999999</v>
      </c>
      <c r="E101" s="11">
        <v>0.4</v>
      </c>
    </row>
    <row r="102" spans="1:5" x14ac:dyDescent="0.45">
      <c r="A102" t="s">
        <v>156</v>
      </c>
      <c r="B102" s="10" t="s">
        <v>189</v>
      </c>
      <c r="C102" s="2">
        <v>19.596</v>
      </c>
      <c r="D102" s="2">
        <v>0.63900000000000001</v>
      </c>
      <c r="E102" s="11">
        <v>3.2608695652173898E-2</v>
      </c>
    </row>
    <row r="103" spans="1:5" x14ac:dyDescent="0.45">
      <c r="A103" t="s">
        <v>153</v>
      </c>
      <c r="B103" s="10" t="s">
        <v>190</v>
      </c>
      <c r="C103" s="2">
        <v>33.015000000000001</v>
      </c>
      <c r="D103" s="2">
        <v>2.556</v>
      </c>
      <c r="E103" s="11">
        <v>7.7419354838709695E-2</v>
      </c>
    </row>
    <row r="104" spans="1:5" x14ac:dyDescent="0.45">
      <c r="A104" t="s">
        <v>154</v>
      </c>
      <c r="B104" s="10" t="s">
        <v>191</v>
      </c>
      <c r="C104" s="2">
        <v>582.76800000000003</v>
      </c>
      <c r="D104" s="2">
        <v>299.26499999999999</v>
      </c>
      <c r="E104" s="11">
        <v>0.51352339181286599</v>
      </c>
    </row>
    <row r="105" spans="1:5" x14ac:dyDescent="0.45">
      <c r="A105" t="s">
        <v>157</v>
      </c>
      <c r="B105" s="10" t="s">
        <v>192</v>
      </c>
      <c r="C105" s="2">
        <v>11.289</v>
      </c>
      <c r="D105" s="2">
        <v>0.42599999999999999</v>
      </c>
      <c r="E105" s="11">
        <v>3.77358490566038E-2</v>
      </c>
    </row>
    <row r="106" spans="1:5" x14ac:dyDescent="0.45">
      <c r="A106" t="s">
        <v>165</v>
      </c>
      <c r="B106" s="10" t="s">
        <v>193</v>
      </c>
      <c r="C106" s="2">
        <v>5.9640000000000004</v>
      </c>
      <c r="D106" s="2">
        <v>0.21299999999999999</v>
      </c>
      <c r="E106" s="11">
        <v>3.5714285714285698E-2</v>
      </c>
    </row>
    <row r="107" spans="1:5" x14ac:dyDescent="0.45">
      <c r="A107" t="s">
        <v>165</v>
      </c>
      <c r="B107" s="10" t="s">
        <v>194</v>
      </c>
      <c r="C107" s="2">
        <v>24.068999999999999</v>
      </c>
      <c r="D107" s="2">
        <v>1.0649999999999999</v>
      </c>
      <c r="E107" s="11">
        <v>4.4247787610619503E-2</v>
      </c>
    </row>
    <row r="108" spans="1:5" x14ac:dyDescent="0.45">
      <c r="A108" t="s">
        <v>154</v>
      </c>
      <c r="B108" s="10" t="s">
        <v>195</v>
      </c>
      <c r="C108" s="2">
        <v>11.076000000000001</v>
      </c>
      <c r="D108" s="2">
        <v>10.010999999999999</v>
      </c>
      <c r="E108" s="11">
        <v>0.90384615384615397</v>
      </c>
    </row>
    <row r="109" spans="1:5" x14ac:dyDescent="0.45">
      <c r="A109" t="s">
        <v>165</v>
      </c>
      <c r="B109" s="10" t="s">
        <v>196</v>
      </c>
      <c r="C109" s="2">
        <v>2.556</v>
      </c>
      <c r="D109" s="2">
        <v>0.42599999999999999</v>
      </c>
      <c r="E109" s="11">
        <v>0.16666666666666699</v>
      </c>
    </row>
    <row r="110" spans="1:5" x14ac:dyDescent="0.45">
      <c r="A110" t="s">
        <v>154</v>
      </c>
      <c r="B110" s="10" t="s">
        <v>84</v>
      </c>
      <c r="C110" s="2">
        <v>43.451999999999998</v>
      </c>
      <c r="D110" s="2">
        <v>0.85199999999999998</v>
      </c>
      <c r="E110" s="11">
        <v>1.9607843137254902E-2</v>
      </c>
    </row>
    <row r="111" spans="1:5" x14ac:dyDescent="0.45">
      <c r="A111" t="s">
        <v>159</v>
      </c>
      <c r="B111" s="10" t="s">
        <v>197</v>
      </c>
      <c r="C111" s="2">
        <v>38.127000000000002</v>
      </c>
      <c r="D111" s="2">
        <v>0.85199999999999998</v>
      </c>
      <c r="E111" s="11">
        <v>2.23463687150838E-2</v>
      </c>
    </row>
    <row r="112" spans="1:5" x14ac:dyDescent="0.45">
      <c r="A112" t="s">
        <v>156</v>
      </c>
      <c r="B112" s="10" t="s">
        <v>198</v>
      </c>
      <c r="C112" s="2">
        <v>33.866999999999997</v>
      </c>
      <c r="D112" s="2">
        <v>1.917</v>
      </c>
      <c r="E112" s="11">
        <v>5.6603773584905703E-2</v>
      </c>
    </row>
    <row r="113" spans="1:5" x14ac:dyDescent="0.45">
      <c r="A113" t="s">
        <v>157</v>
      </c>
      <c r="B113" s="10" t="s">
        <v>199</v>
      </c>
      <c r="C113" s="2">
        <v>27.477</v>
      </c>
      <c r="D113" s="2">
        <v>0.85199999999999998</v>
      </c>
      <c r="E113" s="11">
        <v>3.1007751937984499E-2</v>
      </c>
    </row>
    <row r="114" spans="1:5" x14ac:dyDescent="0.45">
      <c r="A114" t="s">
        <v>154</v>
      </c>
      <c r="B114" s="10" t="s">
        <v>86</v>
      </c>
      <c r="C114" s="2">
        <v>490.53899999999999</v>
      </c>
      <c r="D114" s="2">
        <v>10.224</v>
      </c>
      <c r="E114" s="11">
        <v>2.08423795049935E-2</v>
      </c>
    </row>
    <row r="115" spans="1:5" x14ac:dyDescent="0.45">
      <c r="A115" t="s">
        <v>165</v>
      </c>
      <c r="B115" s="10" t="s">
        <v>87</v>
      </c>
      <c r="C115" s="2">
        <v>594.05700000000002</v>
      </c>
      <c r="D115" s="2">
        <v>17.253</v>
      </c>
      <c r="E115" s="11">
        <v>2.90426676228039E-2</v>
      </c>
    </row>
    <row r="116" spans="1:5" x14ac:dyDescent="0.45">
      <c r="A116" t="s">
        <v>165</v>
      </c>
      <c r="B116" s="10" t="s">
        <v>88</v>
      </c>
      <c r="C116" s="2">
        <v>724.19999999999993</v>
      </c>
      <c r="D116" s="2">
        <v>212.78700000000001</v>
      </c>
      <c r="E116" s="11">
        <v>0.29382352941176498</v>
      </c>
    </row>
    <row r="117" spans="1:5" x14ac:dyDescent="0.45">
      <c r="A117" t="s">
        <v>155</v>
      </c>
      <c r="B117" s="10" t="s">
        <v>89</v>
      </c>
      <c r="C117" s="2">
        <v>844.971</v>
      </c>
      <c r="D117" s="2">
        <v>5.3250000000000002</v>
      </c>
      <c r="E117" s="11">
        <v>6.3019914292916602E-3</v>
      </c>
    </row>
    <row r="118" spans="1:5" x14ac:dyDescent="0.45">
      <c r="A118" t="s">
        <v>155</v>
      </c>
      <c r="B118" s="10" t="s">
        <v>90</v>
      </c>
      <c r="C118" s="2">
        <v>216.40799999999999</v>
      </c>
      <c r="D118" s="2">
        <v>2.13</v>
      </c>
      <c r="E118" s="11">
        <v>9.8425196850393699E-3</v>
      </c>
    </row>
    <row r="119" spans="1:5" x14ac:dyDescent="0.45">
      <c r="A119" t="s">
        <v>156</v>
      </c>
      <c r="B119" s="10" t="s">
        <v>91</v>
      </c>
      <c r="C119" s="2">
        <v>53.889000000000003</v>
      </c>
      <c r="D119" s="2">
        <v>9.3719999999999999</v>
      </c>
      <c r="E119" s="11">
        <v>0.173913043478261</v>
      </c>
    </row>
    <row r="120" spans="1:5" x14ac:dyDescent="0.45">
      <c r="A120" t="s">
        <v>154</v>
      </c>
      <c r="B120" s="10" t="s">
        <v>92</v>
      </c>
      <c r="C120" s="2">
        <v>287.76299999999998</v>
      </c>
      <c r="D120" s="2">
        <v>21.513000000000002</v>
      </c>
      <c r="E120" s="11">
        <v>7.4759437453738004E-2</v>
      </c>
    </row>
    <row r="121" spans="1:5" x14ac:dyDescent="0.45">
      <c r="A121" t="s">
        <v>165</v>
      </c>
      <c r="B121" s="10" t="s">
        <v>93</v>
      </c>
      <c r="C121" s="2">
        <v>401.505</v>
      </c>
      <c r="D121" s="2">
        <v>91.376999999999995</v>
      </c>
      <c r="E121" s="11">
        <v>0.22758620689655201</v>
      </c>
    </row>
    <row r="122" spans="1:5" x14ac:dyDescent="0.45">
      <c r="A122" t="s">
        <v>165</v>
      </c>
      <c r="B122" s="10" t="s">
        <v>94</v>
      </c>
      <c r="C122" s="2">
        <v>182.328</v>
      </c>
      <c r="D122" s="2">
        <v>22.577999999999999</v>
      </c>
      <c r="E122" s="11">
        <v>0.123831775700935</v>
      </c>
    </row>
    <row r="123" spans="1:5" x14ac:dyDescent="0.45">
      <c r="A123" t="s">
        <v>157</v>
      </c>
      <c r="B123" s="10" t="s">
        <v>95</v>
      </c>
      <c r="C123" s="2">
        <v>1229.6489999999999</v>
      </c>
      <c r="D123" s="2">
        <v>269.87099999999998</v>
      </c>
      <c r="E123" s="11">
        <v>0.21946994630175001</v>
      </c>
    </row>
    <row r="124" spans="1:5" x14ac:dyDescent="0.45">
      <c r="A124" t="s">
        <v>154</v>
      </c>
      <c r="B124" s="10" t="s">
        <v>200</v>
      </c>
      <c r="C124" s="2">
        <v>1.0649999999999999</v>
      </c>
      <c r="D124" s="2">
        <v>0.21299999999999999</v>
      </c>
      <c r="E124" s="11">
        <v>0.2</v>
      </c>
    </row>
    <row r="125" spans="1:5" x14ac:dyDescent="0.45">
      <c r="A125" t="s">
        <v>153</v>
      </c>
      <c r="B125" s="10" t="s">
        <v>96</v>
      </c>
      <c r="C125" s="2">
        <v>48.350999999999999</v>
      </c>
      <c r="D125" s="2">
        <v>6.6029999999999998</v>
      </c>
      <c r="E125" s="11">
        <v>0.136563876651982</v>
      </c>
    </row>
    <row r="126" spans="1:5" x14ac:dyDescent="0.45">
      <c r="A126" t="s">
        <v>153</v>
      </c>
      <c r="B126" s="10" t="s">
        <v>97</v>
      </c>
      <c r="C126" s="2">
        <v>1527.423</v>
      </c>
      <c r="D126" s="2">
        <v>534.41700000000003</v>
      </c>
      <c r="E126" s="11">
        <v>0.34988146701994099</v>
      </c>
    </row>
    <row r="127" spans="1:5" x14ac:dyDescent="0.45">
      <c r="A127" t="s">
        <v>157</v>
      </c>
      <c r="B127" s="10" t="s">
        <v>98</v>
      </c>
      <c r="C127" s="2">
        <v>178.92</v>
      </c>
      <c r="D127" s="2">
        <v>7.0289999999999999</v>
      </c>
      <c r="E127" s="11">
        <v>3.9285714285714299E-2</v>
      </c>
    </row>
    <row r="128" spans="1:5" x14ac:dyDescent="0.45">
      <c r="A128" t="s">
        <v>165</v>
      </c>
      <c r="B128" s="10" t="s">
        <v>99</v>
      </c>
      <c r="C128" s="2">
        <v>423.65699999999998</v>
      </c>
      <c r="D128" s="2">
        <v>98.192999999999998</v>
      </c>
      <c r="E128" s="11">
        <v>0.23177476118652601</v>
      </c>
    </row>
    <row r="129" spans="1:5" x14ac:dyDescent="0.45">
      <c r="A129" t="s">
        <v>153</v>
      </c>
      <c r="B129" s="10" t="s">
        <v>101</v>
      </c>
      <c r="C129" s="2">
        <v>564.87599999999998</v>
      </c>
      <c r="D129" s="2">
        <v>20.661000000000001</v>
      </c>
      <c r="E129" s="11">
        <v>3.6576168929110101E-2</v>
      </c>
    </row>
    <row r="130" spans="1:5" x14ac:dyDescent="0.45">
      <c r="A130" t="s">
        <v>153</v>
      </c>
      <c r="B130" s="10" t="s">
        <v>102</v>
      </c>
      <c r="C130" s="2">
        <v>317.58300000000003</v>
      </c>
      <c r="D130" s="2">
        <v>50.268000000000001</v>
      </c>
      <c r="E130" s="11">
        <v>0.158283031522468</v>
      </c>
    </row>
    <row r="131" spans="1:5" x14ac:dyDescent="0.45">
      <c r="A131" t="s">
        <v>157</v>
      </c>
      <c r="B131" s="10" t="s">
        <v>103</v>
      </c>
      <c r="C131" s="2">
        <v>426</v>
      </c>
      <c r="D131" s="2">
        <v>15.336</v>
      </c>
      <c r="E131" s="11">
        <v>3.5999999999999997E-2</v>
      </c>
    </row>
    <row r="132" spans="1:5" x14ac:dyDescent="0.45">
      <c r="A132" t="s">
        <v>154</v>
      </c>
      <c r="B132" s="10" t="s">
        <v>201</v>
      </c>
      <c r="C132" s="2">
        <v>33.228000000000002</v>
      </c>
      <c r="D132" s="2">
        <v>1.704</v>
      </c>
      <c r="E132" s="11">
        <v>5.1282051282051301E-2</v>
      </c>
    </row>
    <row r="133" spans="1:5" x14ac:dyDescent="0.45">
      <c r="A133" t="s">
        <v>165</v>
      </c>
      <c r="B133" s="10" t="s">
        <v>202</v>
      </c>
      <c r="C133" s="2">
        <v>4.899</v>
      </c>
      <c r="D133" s="2">
        <v>0.21299999999999999</v>
      </c>
      <c r="E133" s="11">
        <v>4.3478260869565202E-2</v>
      </c>
    </row>
    <row r="134" spans="1:5" x14ac:dyDescent="0.45">
      <c r="A134" t="s">
        <v>156</v>
      </c>
      <c r="B134" s="10" t="s">
        <v>203</v>
      </c>
      <c r="C134" s="2">
        <v>15.548999999999999</v>
      </c>
      <c r="D134" s="2">
        <v>0.21299999999999999</v>
      </c>
      <c r="E134" s="11">
        <v>1.3698630136986301E-2</v>
      </c>
    </row>
    <row r="135" spans="1:5" x14ac:dyDescent="0.45">
      <c r="A135" t="s">
        <v>156</v>
      </c>
      <c r="B135" s="10" t="s">
        <v>204</v>
      </c>
      <c r="C135" s="2">
        <v>2.9820000000000002</v>
      </c>
      <c r="D135" s="2">
        <v>0.63900000000000001</v>
      </c>
      <c r="E135" s="11">
        <v>0.214285714285714</v>
      </c>
    </row>
    <row r="136" spans="1:5" x14ac:dyDescent="0.45">
      <c r="A136" t="s">
        <v>159</v>
      </c>
      <c r="B136" s="10" t="s">
        <v>205</v>
      </c>
      <c r="C136" s="2">
        <v>6.39</v>
      </c>
      <c r="D136" s="2">
        <v>0.21299999999999999</v>
      </c>
      <c r="E136" s="11">
        <v>3.3333333333333298E-2</v>
      </c>
    </row>
    <row r="137" spans="1:5" x14ac:dyDescent="0.45">
      <c r="A137" t="s">
        <v>159</v>
      </c>
      <c r="B137" s="10" t="s">
        <v>206</v>
      </c>
      <c r="C137" s="2">
        <v>147.60900000000001</v>
      </c>
      <c r="D137" s="2">
        <v>4.899</v>
      </c>
      <c r="E137" s="11">
        <v>3.3189033189033199E-2</v>
      </c>
    </row>
    <row r="138" spans="1:5" x14ac:dyDescent="0.45">
      <c r="A138" t="s">
        <v>154</v>
      </c>
      <c r="B138" s="10" t="s">
        <v>207</v>
      </c>
      <c r="C138" s="2">
        <v>28.754999999999999</v>
      </c>
      <c r="D138" s="2">
        <v>2.9820000000000002</v>
      </c>
      <c r="E138" s="11">
        <v>0.10370370370370401</v>
      </c>
    </row>
    <row r="139" spans="1:5" x14ac:dyDescent="0.45">
      <c r="A139" t="s">
        <v>156</v>
      </c>
      <c r="B139" s="10" t="s">
        <v>208</v>
      </c>
      <c r="C139" s="2">
        <v>10.436999999999999</v>
      </c>
      <c r="D139" s="2">
        <v>0.42599999999999999</v>
      </c>
      <c r="E139" s="11">
        <v>4.08163265306122E-2</v>
      </c>
    </row>
    <row r="140" spans="1:5" x14ac:dyDescent="0.45">
      <c r="A140" t="s">
        <v>156</v>
      </c>
      <c r="B140" s="10" t="s">
        <v>209</v>
      </c>
      <c r="C140" s="2">
        <v>6.8159999999999998</v>
      </c>
      <c r="D140" s="2">
        <v>0.63900000000000001</v>
      </c>
      <c r="E140" s="11">
        <v>9.375E-2</v>
      </c>
    </row>
    <row r="141" spans="1:5" x14ac:dyDescent="0.45">
      <c r="A141" t="s">
        <v>153</v>
      </c>
      <c r="B141" s="10" t="s">
        <v>210</v>
      </c>
      <c r="C141" s="2">
        <v>32.802</v>
      </c>
      <c r="D141" s="2">
        <v>1.4910000000000001</v>
      </c>
      <c r="E141" s="11">
        <v>4.5454545454545497E-2</v>
      </c>
    </row>
    <row r="142" spans="1:5" x14ac:dyDescent="0.45">
      <c r="A142" t="s">
        <v>153</v>
      </c>
      <c r="B142" s="10" t="s">
        <v>211</v>
      </c>
      <c r="C142" s="2">
        <v>4.4729999999999999</v>
      </c>
      <c r="D142" s="2">
        <v>0.21299999999999999</v>
      </c>
      <c r="E142" s="11">
        <v>4.7619047619047603E-2</v>
      </c>
    </row>
    <row r="143" spans="1:5" x14ac:dyDescent="0.45">
      <c r="A143" t="s">
        <v>157</v>
      </c>
      <c r="B143" s="10" t="s">
        <v>212</v>
      </c>
      <c r="C143" s="2">
        <v>6.6029999999999998</v>
      </c>
      <c r="D143" s="2">
        <v>1.0649999999999999</v>
      </c>
      <c r="E143" s="11">
        <v>0.16129032258064499</v>
      </c>
    </row>
    <row r="144" spans="1:5" x14ac:dyDescent="0.45">
      <c r="A144" t="s">
        <v>159</v>
      </c>
      <c r="B144" s="10" t="s">
        <v>213</v>
      </c>
      <c r="C144" s="2">
        <v>53.676000000000002</v>
      </c>
      <c r="D144" s="2">
        <v>3.8340000000000001</v>
      </c>
      <c r="E144" s="11">
        <v>7.1428571428571397E-2</v>
      </c>
    </row>
    <row r="145" spans="1:5" x14ac:dyDescent="0.45">
      <c r="A145" t="s">
        <v>155</v>
      </c>
      <c r="B145" s="10" t="s">
        <v>214</v>
      </c>
      <c r="C145" s="2">
        <v>18.957000000000001</v>
      </c>
      <c r="D145" s="2">
        <v>4.26</v>
      </c>
      <c r="E145" s="11">
        <v>0.224719101123596</v>
      </c>
    </row>
    <row r="146" spans="1:5" x14ac:dyDescent="0.45">
      <c r="A146" t="s">
        <v>153</v>
      </c>
      <c r="B146" s="10" t="s">
        <v>215</v>
      </c>
      <c r="C146" s="2">
        <v>6.8159999999999998</v>
      </c>
      <c r="D146" s="2">
        <v>0.42599999999999999</v>
      </c>
      <c r="E146" s="11">
        <v>6.25E-2</v>
      </c>
    </row>
    <row r="147" spans="1:5" x14ac:dyDescent="0.45">
      <c r="A147" t="s">
        <v>156</v>
      </c>
      <c r="B147" s="10" t="s">
        <v>216</v>
      </c>
      <c r="C147" s="2">
        <v>1.4910000000000001</v>
      </c>
      <c r="D147" s="2">
        <v>0.85199999999999998</v>
      </c>
      <c r="E147" s="11">
        <v>0.57142857142857095</v>
      </c>
    </row>
    <row r="148" spans="1:5" x14ac:dyDescent="0.45">
      <c r="A148" t="s">
        <v>157</v>
      </c>
      <c r="B148" s="10" t="s">
        <v>217</v>
      </c>
      <c r="C148" s="2">
        <v>21.513000000000002</v>
      </c>
      <c r="D148" s="2">
        <v>1.278</v>
      </c>
      <c r="E148" s="11">
        <v>5.9405940594059403E-2</v>
      </c>
    </row>
    <row r="149" spans="1:5" x14ac:dyDescent="0.45">
      <c r="A149" t="s">
        <v>154</v>
      </c>
      <c r="B149" s="10" t="s">
        <v>218</v>
      </c>
      <c r="C149" s="2">
        <v>2.9820000000000002</v>
      </c>
      <c r="D149" s="2">
        <v>0.63900000000000001</v>
      </c>
      <c r="E149" s="11">
        <v>0.214285714285714</v>
      </c>
    </row>
    <row r="150" spans="1:5" x14ac:dyDescent="0.45">
      <c r="A150" t="s">
        <v>159</v>
      </c>
      <c r="B150" s="10" t="s">
        <v>219</v>
      </c>
      <c r="C150" s="2">
        <v>21.939</v>
      </c>
      <c r="D150" s="2">
        <v>0.42599999999999999</v>
      </c>
      <c r="E150" s="11">
        <v>1.94174757281553E-2</v>
      </c>
    </row>
    <row r="151" spans="1:5" x14ac:dyDescent="0.45">
      <c r="A151" t="s">
        <v>157</v>
      </c>
      <c r="B151" s="10" t="s">
        <v>220</v>
      </c>
      <c r="C151" s="2">
        <v>2.7690000000000001</v>
      </c>
      <c r="D151" s="2">
        <v>2.7690000000000001</v>
      </c>
      <c r="E151" s="11">
        <v>1</v>
      </c>
    </row>
    <row r="152" spans="1:5" x14ac:dyDescent="0.45">
      <c r="A152" t="s">
        <v>155</v>
      </c>
      <c r="B152" s="10" t="s">
        <v>221</v>
      </c>
      <c r="C152" s="2">
        <v>34.292999999999999</v>
      </c>
      <c r="D152" s="2">
        <v>20.661000000000001</v>
      </c>
      <c r="E152" s="11">
        <v>0.60248447204969002</v>
      </c>
    </row>
    <row r="153" spans="1:5" x14ac:dyDescent="0.45">
      <c r="A153" t="s">
        <v>153</v>
      </c>
      <c r="B153" s="10" t="s">
        <v>222</v>
      </c>
      <c r="C153" s="2">
        <v>28.754999999999999</v>
      </c>
      <c r="D153" s="2">
        <v>1.0649999999999999</v>
      </c>
      <c r="E153" s="11">
        <v>3.7037037037037E-2</v>
      </c>
    </row>
    <row r="154" spans="1:5" x14ac:dyDescent="0.45">
      <c r="A154" t="s">
        <v>156</v>
      </c>
      <c r="B154" s="10" t="s">
        <v>223</v>
      </c>
      <c r="C154" s="2">
        <v>7.8810000000000002</v>
      </c>
      <c r="D154" s="2">
        <v>1.4910000000000001</v>
      </c>
      <c r="E154" s="11">
        <v>0.18918918918918901</v>
      </c>
    </row>
    <row r="155" spans="1:5" x14ac:dyDescent="0.45">
      <c r="A155" t="s">
        <v>156</v>
      </c>
      <c r="B155" s="10" t="s">
        <v>224</v>
      </c>
      <c r="C155" s="2">
        <v>85.838999999999999</v>
      </c>
      <c r="D155" s="2">
        <v>11.502000000000001</v>
      </c>
      <c r="E155" s="11">
        <v>0.13399503722084399</v>
      </c>
    </row>
    <row r="156" spans="1:5" x14ac:dyDescent="0.45">
      <c r="A156" t="s">
        <v>155</v>
      </c>
      <c r="B156" s="10" t="s">
        <v>105</v>
      </c>
      <c r="C156" s="2">
        <v>386.59500000000003</v>
      </c>
      <c r="D156" s="2">
        <v>0.63900000000000001</v>
      </c>
      <c r="E156" s="11">
        <v>1.6528925619834699E-3</v>
      </c>
    </row>
    <row r="157" spans="1:5" x14ac:dyDescent="0.45">
      <c r="A157" t="s">
        <v>159</v>
      </c>
      <c r="B157" s="10" t="s">
        <v>106</v>
      </c>
      <c r="C157" s="2">
        <v>443.46600000000001</v>
      </c>
      <c r="D157" s="2">
        <v>82.430999999999997</v>
      </c>
      <c r="E157" s="11">
        <v>0.18587896253602301</v>
      </c>
    </row>
    <row r="158" spans="1:5" x14ac:dyDescent="0.45">
      <c r="A158" t="s">
        <v>157</v>
      </c>
      <c r="B158" s="10" t="s">
        <v>225</v>
      </c>
      <c r="C158" s="2">
        <v>13.419</v>
      </c>
      <c r="D158" s="2">
        <v>0.63900000000000001</v>
      </c>
      <c r="E158" s="11">
        <v>4.7619047619047603E-2</v>
      </c>
    </row>
    <row r="159" spans="1:5" x14ac:dyDescent="0.45">
      <c r="A159" t="s">
        <v>165</v>
      </c>
      <c r="B159" s="10" t="s">
        <v>226</v>
      </c>
      <c r="C159" s="2">
        <v>16.614000000000001</v>
      </c>
      <c r="D159" s="2">
        <v>0.21299999999999999</v>
      </c>
      <c r="E159" s="11">
        <v>1.2820512820512799E-2</v>
      </c>
    </row>
    <row r="160" spans="1:5" x14ac:dyDescent="0.45">
      <c r="A160" t="s">
        <v>154</v>
      </c>
      <c r="B160" s="10" t="s">
        <v>107</v>
      </c>
      <c r="C160" s="2">
        <v>273.70499999999998</v>
      </c>
      <c r="D160" s="2">
        <v>13.632</v>
      </c>
      <c r="E160" s="11">
        <v>4.9805447470817103E-2</v>
      </c>
    </row>
    <row r="161" spans="1:5" x14ac:dyDescent="0.45">
      <c r="A161" t="s">
        <v>154</v>
      </c>
      <c r="B161" s="10" t="s">
        <v>227</v>
      </c>
      <c r="C161" s="2">
        <v>80.301000000000002</v>
      </c>
      <c r="D161" s="2">
        <v>5.7509999999999986</v>
      </c>
      <c r="E161" s="11">
        <v>7.1618037135278506E-2</v>
      </c>
    </row>
    <row r="162" spans="1:5" x14ac:dyDescent="0.45">
      <c r="A162" t="s">
        <v>153</v>
      </c>
      <c r="B162" s="10" t="s">
        <v>228</v>
      </c>
      <c r="C162" s="2">
        <v>10.436999999999999</v>
      </c>
      <c r="D162" s="2">
        <v>0.85199999999999998</v>
      </c>
      <c r="E162" s="11">
        <v>8.1632653061224497E-2</v>
      </c>
    </row>
    <row r="163" spans="1:5" x14ac:dyDescent="0.45">
      <c r="A163" t="s">
        <v>154</v>
      </c>
      <c r="B163" s="10" t="s">
        <v>229</v>
      </c>
      <c r="C163" s="2">
        <v>8.0939999999999994</v>
      </c>
      <c r="D163" s="2">
        <v>3.4079999999999999</v>
      </c>
      <c r="E163" s="11">
        <v>0.42105263157894701</v>
      </c>
    </row>
    <row r="164" spans="1:5" x14ac:dyDescent="0.45">
      <c r="A164" t="s">
        <v>154</v>
      </c>
      <c r="B164" s="10" t="s">
        <v>230</v>
      </c>
      <c r="C164" s="2">
        <v>34.719000000000001</v>
      </c>
      <c r="D164" s="2">
        <v>1.0649999999999999</v>
      </c>
      <c r="E164" s="11">
        <v>3.0674846625766899E-2</v>
      </c>
    </row>
    <row r="165" spans="1:5" x14ac:dyDescent="0.45">
      <c r="A165" t="s">
        <v>159</v>
      </c>
      <c r="B165" s="10" t="s">
        <v>109</v>
      </c>
      <c r="C165" s="2">
        <v>104.583</v>
      </c>
      <c r="D165" s="2">
        <v>1.917</v>
      </c>
      <c r="E165" s="11">
        <v>1.83299389002037E-2</v>
      </c>
    </row>
    <row r="166" spans="1:5" x14ac:dyDescent="0.45">
      <c r="A166" t="s">
        <v>157</v>
      </c>
      <c r="B166" s="10" t="s">
        <v>111</v>
      </c>
      <c r="C166" s="2">
        <v>316.30500000000001</v>
      </c>
      <c r="D166" s="2">
        <v>28.968</v>
      </c>
      <c r="E166" s="11">
        <v>9.1582491582491599E-2</v>
      </c>
    </row>
    <row r="167" spans="1:5" x14ac:dyDescent="0.45">
      <c r="A167" t="s">
        <v>155</v>
      </c>
      <c r="B167" s="10" t="s">
        <v>112</v>
      </c>
      <c r="C167" s="2">
        <v>331.64100000000002</v>
      </c>
      <c r="D167" s="2">
        <v>67.307999999999993</v>
      </c>
      <c r="E167" s="11">
        <v>0.20295439948619101</v>
      </c>
    </row>
    <row r="168" spans="1:5" x14ac:dyDescent="0.45">
      <c r="A168" t="s">
        <v>154</v>
      </c>
      <c r="B168" s="10" t="s">
        <v>231</v>
      </c>
      <c r="C168" s="2">
        <v>6.1769999999999996</v>
      </c>
      <c r="D168" s="2">
        <v>0.42599999999999999</v>
      </c>
      <c r="E168" s="11">
        <v>6.8965517241379296E-2</v>
      </c>
    </row>
    <row r="169" spans="1:5" x14ac:dyDescent="0.45">
      <c r="A169" t="s">
        <v>153</v>
      </c>
      <c r="B169" s="10" t="s">
        <v>113</v>
      </c>
      <c r="C169" s="2">
        <v>711.846</v>
      </c>
      <c r="D169" s="2">
        <v>150.37799999999999</v>
      </c>
      <c r="E169" s="11">
        <v>0.211250748055057</v>
      </c>
    </row>
    <row r="170" spans="1:5" x14ac:dyDescent="0.45">
      <c r="A170" t="s">
        <v>156</v>
      </c>
      <c r="B170" s="10" t="s">
        <v>115</v>
      </c>
      <c r="C170" s="2">
        <v>298.41300000000001</v>
      </c>
      <c r="D170" s="2">
        <v>41.534999999999997</v>
      </c>
      <c r="E170" s="11">
        <v>0.13918629550321199</v>
      </c>
    </row>
    <row r="171" spans="1:5" x14ac:dyDescent="0.45">
      <c r="A171" t="s">
        <v>157</v>
      </c>
      <c r="B171" s="10" t="s">
        <v>116</v>
      </c>
      <c r="C171" s="2">
        <v>169.33500000000001</v>
      </c>
      <c r="D171" s="2">
        <v>7.0289999999999999</v>
      </c>
      <c r="E171" s="11">
        <v>4.1509433962264197E-2</v>
      </c>
    </row>
    <row r="172" spans="1:5" x14ac:dyDescent="0.45">
      <c r="A172" t="s">
        <v>157</v>
      </c>
      <c r="B172" s="10" t="s">
        <v>119</v>
      </c>
      <c r="C172" s="2">
        <v>157.833</v>
      </c>
      <c r="D172" s="2">
        <v>0.21299999999999999</v>
      </c>
      <c r="E172" s="11">
        <v>1.34952766531714E-3</v>
      </c>
    </row>
    <row r="173" spans="1:5" x14ac:dyDescent="0.45">
      <c r="A173" t="s">
        <v>157</v>
      </c>
      <c r="B173" s="10" t="s">
        <v>120</v>
      </c>
      <c r="C173" s="2">
        <v>456.88499999999999</v>
      </c>
      <c r="D173" s="2">
        <v>1.278</v>
      </c>
      <c r="E173" s="11">
        <v>2.7972027972027998E-3</v>
      </c>
    </row>
    <row r="174" spans="1:5" x14ac:dyDescent="0.45">
      <c r="A174" t="s">
        <v>157</v>
      </c>
      <c r="B174" s="10" t="s">
        <v>121</v>
      </c>
      <c r="C174" s="2">
        <v>616.42200000000003</v>
      </c>
      <c r="D174" s="2">
        <v>91.802999999999997</v>
      </c>
      <c r="E174" s="11">
        <v>0.14892881824464399</v>
      </c>
    </row>
    <row r="175" spans="1:5" x14ac:dyDescent="0.45">
      <c r="A175" t="s">
        <v>159</v>
      </c>
      <c r="B175" s="10" t="s">
        <v>122</v>
      </c>
      <c r="C175" s="2">
        <v>259.43400000000003</v>
      </c>
      <c r="D175" s="2">
        <v>1.0649999999999999</v>
      </c>
      <c r="E175" s="11">
        <v>4.1050903119868604E-3</v>
      </c>
    </row>
    <row r="176" spans="1:5" x14ac:dyDescent="0.45">
      <c r="A176" t="s">
        <v>153</v>
      </c>
      <c r="B176" s="10" t="s">
        <v>232</v>
      </c>
      <c r="C176" s="2">
        <v>52.823999999999998</v>
      </c>
      <c r="D176" s="2">
        <v>3.621</v>
      </c>
      <c r="E176" s="11">
        <v>6.8548387096774202E-2</v>
      </c>
    </row>
    <row r="177" spans="1:5" x14ac:dyDescent="0.45">
      <c r="A177" t="s">
        <v>153</v>
      </c>
      <c r="B177" s="10" t="s">
        <v>233</v>
      </c>
      <c r="C177" s="2">
        <v>8.7330000000000005</v>
      </c>
      <c r="D177" s="2">
        <v>0.21299999999999999</v>
      </c>
      <c r="E177" s="11">
        <v>2.4390243902439001E-2</v>
      </c>
    </row>
    <row r="178" spans="1:5" x14ac:dyDescent="0.45">
      <c r="A178" t="s">
        <v>165</v>
      </c>
      <c r="B178" s="10" t="s">
        <v>123</v>
      </c>
      <c r="C178" s="2">
        <v>140.79300000000001</v>
      </c>
      <c r="D178" s="2">
        <v>42.6</v>
      </c>
      <c r="E178" s="11">
        <v>0.30257186081694398</v>
      </c>
    </row>
    <row r="179" spans="1:5" x14ac:dyDescent="0.45">
      <c r="A179" t="s">
        <v>153</v>
      </c>
      <c r="B179" s="10" t="s">
        <v>234</v>
      </c>
      <c r="C179" s="2">
        <v>2.13</v>
      </c>
      <c r="D179" s="2">
        <v>0.21299999999999999</v>
      </c>
      <c r="E179" s="11">
        <v>0.1</v>
      </c>
    </row>
    <row r="180" spans="1:5" x14ac:dyDescent="0.45">
      <c r="A180" t="s">
        <v>157</v>
      </c>
      <c r="B180" s="10" t="s">
        <v>124</v>
      </c>
      <c r="C180" s="2">
        <v>608.11500000000001</v>
      </c>
      <c r="D180" s="2">
        <v>31.524000000000001</v>
      </c>
      <c r="E180" s="11">
        <v>5.1838879159369501E-2</v>
      </c>
    </row>
    <row r="181" spans="1:5" x14ac:dyDescent="0.45">
      <c r="A181" t="s">
        <v>155</v>
      </c>
      <c r="B181" s="10" t="s">
        <v>125</v>
      </c>
      <c r="C181" s="2">
        <v>974.26199999999994</v>
      </c>
      <c r="D181" s="2">
        <v>60.491999999999997</v>
      </c>
      <c r="E181" s="11">
        <v>6.2090074333187598E-2</v>
      </c>
    </row>
    <row r="182" spans="1:5" x14ac:dyDescent="0.45">
      <c r="A182" t="s">
        <v>154</v>
      </c>
      <c r="B182" s="10" t="s">
        <v>126</v>
      </c>
      <c r="C182" s="2">
        <v>464.34</v>
      </c>
      <c r="D182" s="2">
        <v>89.033999999999992</v>
      </c>
      <c r="E182" s="11">
        <v>0.191743119266055</v>
      </c>
    </row>
    <row r="183" spans="1:5" x14ac:dyDescent="0.45">
      <c r="A183" t="s">
        <v>157</v>
      </c>
      <c r="B183" s="10" t="s">
        <v>127</v>
      </c>
      <c r="C183" s="2">
        <v>1456.7070000000001</v>
      </c>
      <c r="D183" s="2">
        <v>129.50399999999999</v>
      </c>
      <c r="E183" s="11">
        <v>8.8901886240678504E-2</v>
      </c>
    </row>
    <row r="184" spans="1:5" x14ac:dyDescent="0.45">
      <c r="A184" t="s">
        <v>165</v>
      </c>
      <c r="B184" s="10" t="s">
        <v>128</v>
      </c>
      <c r="C184" s="2">
        <v>721.64400000000001</v>
      </c>
      <c r="D184" s="2">
        <v>177.21600000000001</v>
      </c>
      <c r="E184" s="11">
        <v>0.245572609208973</v>
      </c>
    </row>
    <row r="185" spans="1:5" x14ac:dyDescent="0.45">
      <c r="A185" t="s">
        <v>157</v>
      </c>
      <c r="B185" s="10" t="s">
        <v>129</v>
      </c>
      <c r="C185" s="2">
        <v>990.44999999999993</v>
      </c>
      <c r="D185" s="2">
        <v>83.283000000000001</v>
      </c>
      <c r="E185" s="11">
        <v>8.4086021505376404E-2</v>
      </c>
    </row>
    <row r="186" spans="1:5" x14ac:dyDescent="0.45">
      <c r="A186" t="s">
        <v>165</v>
      </c>
      <c r="B186" s="10" t="s">
        <v>130</v>
      </c>
      <c r="C186" s="2">
        <v>529.09199999999998</v>
      </c>
      <c r="D186" s="2">
        <v>2.343</v>
      </c>
      <c r="E186" s="11">
        <v>4.4283413848631202E-3</v>
      </c>
    </row>
    <row r="187" spans="1:5" x14ac:dyDescent="0.45">
      <c r="A187" t="s">
        <v>165</v>
      </c>
      <c r="B187" s="10" t="s">
        <v>131</v>
      </c>
      <c r="C187" s="2">
        <v>531.00900000000001</v>
      </c>
      <c r="D187" s="2">
        <v>61.344000000000001</v>
      </c>
      <c r="E187" s="11">
        <v>0.115523465703971</v>
      </c>
    </row>
    <row r="188" spans="1:5" x14ac:dyDescent="0.45">
      <c r="A188" t="s">
        <v>154</v>
      </c>
      <c r="B188" s="10" t="s">
        <v>132</v>
      </c>
      <c r="C188" s="2">
        <v>669.03300000000002</v>
      </c>
      <c r="D188" s="2">
        <v>51.545999999999999</v>
      </c>
      <c r="E188" s="11">
        <v>7.7045526902260394E-2</v>
      </c>
    </row>
    <row r="189" spans="1:5" x14ac:dyDescent="0.45">
      <c r="A189" t="s">
        <v>157</v>
      </c>
      <c r="B189" s="10" t="s">
        <v>133</v>
      </c>
      <c r="C189" s="2">
        <v>767.226</v>
      </c>
      <c r="D189" s="2">
        <v>162.51900000000001</v>
      </c>
      <c r="E189" s="11">
        <v>0.21182676290949501</v>
      </c>
    </row>
    <row r="190" spans="1:5" x14ac:dyDescent="0.45">
      <c r="A190" t="s">
        <v>157</v>
      </c>
      <c r="B190" s="10" t="s">
        <v>134</v>
      </c>
      <c r="C190" s="2">
        <v>1820.511</v>
      </c>
      <c r="D190" s="2">
        <v>468.17399999999998</v>
      </c>
      <c r="E190" s="11">
        <v>0.25716625716625702</v>
      </c>
    </row>
    <row r="191" spans="1:5" x14ac:dyDescent="0.45">
      <c r="A191" t="s">
        <v>159</v>
      </c>
      <c r="B191" s="10" t="s">
        <v>135</v>
      </c>
      <c r="C191" s="2">
        <v>291.59699999999998</v>
      </c>
      <c r="D191" s="2">
        <v>2.9820000000000002</v>
      </c>
      <c r="E191" s="11">
        <v>1.0226442658875101E-2</v>
      </c>
    </row>
    <row r="192" spans="1:5" x14ac:dyDescent="0.45">
      <c r="A192" t="s">
        <v>157</v>
      </c>
      <c r="B192" s="10" t="s">
        <v>136</v>
      </c>
      <c r="C192" s="2">
        <v>819.19799999999998</v>
      </c>
      <c r="D192" s="2">
        <v>82.218000000000004</v>
      </c>
      <c r="E192" s="11">
        <v>0.100364014560582</v>
      </c>
    </row>
    <row r="193" spans="1:5" x14ac:dyDescent="0.45">
      <c r="A193" t="s">
        <v>157</v>
      </c>
      <c r="B193" s="10" t="s">
        <v>137</v>
      </c>
      <c r="C193" s="2">
        <v>518.01599999999996</v>
      </c>
      <c r="D193" s="2">
        <v>15.122999999999999</v>
      </c>
      <c r="E193" s="11">
        <v>2.9194078947368401E-2</v>
      </c>
    </row>
    <row r="194" spans="1:5" x14ac:dyDescent="0.45">
      <c r="A194" t="s">
        <v>159</v>
      </c>
      <c r="B194" s="10" t="s">
        <v>138</v>
      </c>
      <c r="C194" s="2">
        <v>460.50599999999997</v>
      </c>
      <c r="D194" s="2">
        <v>0.63900000000000001</v>
      </c>
      <c r="E194" s="11">
        <v>1.38760407030527E-3</v>
      </c>
    </row>
    <row r="195" spans="1:5" x14ac:dyDescent="0.45">
      <c r="A195" t="s">
        <v>156</v>
      </c>
      <c r="B195" s="10" t="s">
        <v>139</v>
      </c>
      <c r="C195" s="2">
        <v>466.68299999999999</v>
      </c>
      <c r="D195" s="2">
        <v>38.978999999999999</v>
      </c>
      <c r="E195" s="11">
        <v>8.3523505248744898E-2</v>
      </c>
    </row>
    <row r="196" spans="1:5" x14ac:dyDescent="0.45">
      <c r="A196" t="s">
        <v>157</v>
      </c>
      <c r="B196" s="10" t="s">
        <v>235</v>
      </c>
      <c r="C196" s="2">
        <v>14.484</v>
      </c>
      <c r="D196" s="2">
        <v>0.21299999999999999</v>
      </c>
      <c r="E196" s="11">
        <v>1.4705882352941201E-2</v>
      </c>
    </row>
    <row r="197" spans="1:5" x14ac:dyDescent="0.45">
      <c r="A197" t="s">
        <v>156</v>
      </c>
      <c r="B197" s="10" t="s">
        <v>140</v>
      </c>
      <c r="C197" s="2">
        <v>238.56</v>
      </c>
      <c r="D197" s="2">
        <v>51.12</v>
      </c>
      <c r="E197" s="11">
        <v>0.214285714285714</v>
      </c>
    </row>
    <row r="198" spans="1:5" x14ac:dyDescent="0.45">
      <c r="A198" t="s">
        <v>155</v>
      </c>
      <c r="B198" s="10" t="s">
        <v>141</v>
      </c>
      <c r="C198" s="2">
        <v>261.77699999999999</v>
      </c>
      <c r="D198" s="2">
        <v>4.26</v>
      </c>
      <c r="E198" s="11">
        <v>1.6273393002440999E-2</v>
      </c>
    </row>
    <row r="199" spans="1:5" x14ac:dyDescent="0.45">
      <c r="A199" t="s">
        <v>165</v>
      </c>
      <c r="B199" s="10" t="s">
        <v>236</v>
      </c>
      <c r="C199" s="2">
        <v>5.9640000000000004</v>
      </c>
      <c r="D199" s="2">
        <v>1.917</v>
      </c>
      <c r="E199" s="11">
        <v>0.32142857142857101</v>
      </c>
    </row>
    <row r="200" spans="1:5" x14ac:dyDescent="0.45">
      <c r="A200" t="s">
        <v>159</v>
      </c>
      <c r="B200" s="10" t="s">
        <v>142</v>
      </c>
      <c r="C200" s="2">
        <v>291.81</v>
      </c>
      <c r="D200" s="2">
        <v>7.4550000000000001</v>
      </c>
      <c r="E200" s="11">
        <v>2.5547445255474501E-2</v>
      </c>
    </row>
    <row r="201" spans="1:5" x14ac:dyDescent="0.45">
      <c r="A201" t="s">
        <v>157</v>
      </c>
      <c r="B201" s="10" t="s">
        <v>237</v>
      </c>
      <c r="C201" s="2">
        <v>36.21</v>
      </c>
      <c r="D201" s="2">
        <v>1.704</v>
      </c>
      <c r="E201" s="11">
        <v>4.7058823529411799E-2</v>
      </c>
    </row>
    <row r="202" spans="1:5" x14ac:dyDescent="0.45">
      <c r="A202" t="s">
        <v>157</v>
      </c>
      <c r="B202" s="10" t="s">
        <v>238</v>
      </c>
      <c r="C202" s="2">
        <v>8.9459999999999997</v>
      </c>
      <c r="D202" s="2">
        <v>0.21299999999999999</v>
      </c>
      <c r="E202" s="11">
        <v>2.3809523809523801E-2</v>
      </c>
    </row>
    <row r="203" spans="1:5" x14ac:dyDescent="0.45">
      <c r="A203" t="s">
        <v>157</v>
      </c>
      <c r="B203" s="10" t="s">
        <v>143</v>
      </c>
      <c r="C203" s="2">
        <v>274.983</v>
      </c>
      <c r="D203" s="2">
        <v>48.99</v>
      </c>
      <c r="E203" s="11">
        <v>0.178156467854376</v>
      </c>
    </row>
    <row r="204" spans="1:5" x14ac:dyDescent="0.45">
      <c r="A204" t="s">
        <v>159</v>
      </c>
      <c r="B204" s="10" t="s">
        <v>144</v>
      </c>
      <c r="C204" s="2">
        <v>413.64600000000002</v>
      </c>
      <c r="D204" s="2">
        <v>9.5849999999999991</v>
      </c>
      <c r="E204" s="11">
        <v>2.3171987641606599E-2</v>
      </c>
    </row>
    <row r="205" spans="1:5" x14ac:dyDescent="0.45">
      <c r="A205" t="s">
        <v>157</v>
      </c>
      <c r="B205" s="10" t="s">
        <v>145</v>
      </c>
      <c r="C205" s="2">
        <v>174.02099999999999</v>
      </c>
      <c r="D205" s="2">
        <v>10.65</v>
      </c>
      <c r="E205" s="11">
        <v>6.1199510403916801E-2</v>
      </c>
    </row>
    <row r="206" spans="1:5" x14ac:dyDescent="0.45">
      <c r="A206" t="s">
        <v>153</v>
      </c>
      <c r="B206" s="10" t="s">
        <v>146</v>
      </c>
      <c r="C206" s="2">
        <v>701.62199999999996</v>
      </c>
      <c r="D206" s="2">
        <v>233.661</v>
      </c>
      <c r="E206" s="11">
        <v>0.33302975106253802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5"/>
  <sheetViews>
    <sheetView workbookViewId="0">
      <selection activeCell="B61" sqref="B61"/>
    </sheetView>
  </sheetViews>
  <sheetFormatPr defaultRowHeight="14.25" x14ac:dyDescent="0.45"/>
  <cols>
    <col min="1" max="1" width="23.6640625" customWidth="1"/>
    <col min="2" max="2" width="59.33203125" bestFit="1" customWidth="1"/>
    <col min="3" max="3" width="13.6640625" style="3" customWidth="1"/>
    <col min="4" max="4" width="21" style="3" customWidth="1"/>
  </cols>
  <sheetData>
    <row r="1" spans="1:4" x14ac:dyDescent="0.45">
      <c r="A1" s="6" t="s">
        <v>239</v>
      </c>
      <c r="B1" s="6" t="s">
        <v>240</v>
      </c>
      <c r="C1" s="5" t="s">
        <v>241</v>
      </c>
      <c r="D1" s="5" t="s">
        <v>242</v>
      </c>
    </row>
    <row r="2" spans="1:4" x14ac:dyDescent="0.45">
      <c r="A2" t="s">
        <v>243</v>
      </c>
      <c r="B2" t="s">
        <v>2</v>
      </c>
      <c r="C2" s="3">
        <v>372.44763999999998</v>
      </c>
      <c r="D2" s="3">
        <v>14.75011053116811</v>
      </c>
    </row>
    <row r="3" spans="1:4" x14ac:dyDescent="0.45">
      <c r="A3" t="s">
        <v>244</v>
      </c>
      <c r="B3" t="s">
        <v>3</v>
      </c>
      <c r="C3" s="3">
        <v>544.71474999999998</v>
      </c>
      <c r="D3" s="3">
        <v>21.572435713265911</v>
      </c>
    </row>
    <row r="4" spans="1:4" x14ac:dyDescent="0.45">
      <c r="A4" t="s">
        <v>245</v>
      </c>
      <c r="B4" t="s">
        <v>5</v>
      </c>
      <c r="C4" s="3">
        <v>711.56917999999996</v>
      </c>
      <c r="D4" s="3">
        <v>28.18040156080103</v>
      </c>
    </row>
    <row r="5" spans="1:4" x14ac:dyDescent="0.45">
      <c r="A5" t="s">
        <v>246</v>
      </c>
      <c r="B5" t="s">
        <v>247</v>
      </c>
      <c r="C5" s="3">
        <v>268.53874999999999</v>
      </c>
      <c r="D5" s="3">
        <v>10.63498816746891</v>
      </c>
    </row>
    <row r="6" spans="1:4" x14ac:dyDescent="0.45">
      <c r="A6" t="s">
        <v>248</v>
      </c>
      <c r="B6" t="s">
        <v>6</v>
      </c>
      <c r="C6" s="3">
        <v>1333.6523299999999</v>
      </c>
      <c r="D6" s="3">
        <v>52.816871863250071</v>
      </c>
    </row>
    <row r="7" spans="1:4" x14ac:dyDescent="0.45">
      <c r="A7" t="s">
        <v>243</v>
      </c>
      <c r="B7" t="s">
        <v>7</v>
      </c>
      <c r="C7" s="3">
        <v>451.05549999999999</v>
      </c>
      <c r="D7" s="3">
        <v>17.86323167651512</v>
      </c>
    </row>
    <row r="8" spans="1:4" x14ac:dyDescent="0.45">
      <c r="A8" t="s">
        <v>248</v>
      </c>
      <c r="B8" t="s">
        <v>8</v>
      </c>
      <c r="C8" s="3">
        <v>3075.7504899999999</v>
      </c>
      <c r="D8" s="3">
        <v>121.8094970176062</v>
      </c>
    </row>
    <row r="9" spans="1:4" x14ac:dyDescent="0.45">
      <c r="A9" t="s">
        <v>249</v>
      </c>
      <c r="B9" t="s">
        <v>9</v>
      </c>
      <c r="C9" s="3">
        <v>1325.8535400000001</v>
      </c>
      <c r="D9" s="3">
        <v>52.508014987396677</v>
      </c>
    </row>
    <row r="10" spans="1:4" x14ac:dyDescent="0.45">
      <c r="A10" t="s">
        <v>245</v>
      </c>
      <c r="B10" t="s">
        <v>250</v>
      </c>
      <c r="C10" s="3">
        <v>191.38334</v>
      </c>
      <c r="D10" s="3">
        <v>7.5793886593673347</v>
      </c>
    </row>
    <row r="11" spans="1:4" x14ac:dyDescent="0.45">
      <c r="A11" t="s">
        <v>251</v>
      </c>
      <c r="B11" t="s">
        <v>252</v>
      </c>
      <c r="C11" s="3">
        <v>321.07</v>
      </c>
      <c r="D11" s="3">
        <v>12.71539266094462</v>
      </c>
    </row>
    <row r="12" spans="1:4" x14ac:dyDescent="0.45">
      <c r="A12" t="s">
        <v>251</v>
      </c>
      <c r="B12" t="s">
        <v>253</v>
      </c>
      <c r="C12" s="3">
        <v>210.06085999999999</v>
      </c>
      <c r="D12" s="3">
        <v>8.3190778260059073</v>
      </c>
    </row>
    <row r="13" spans="1:4" x14ac:dyDescent="0.45">
      <c r="A13" t="s">
        <v>251</v>
      </c>
      <c r="B13" t="s">
        <v>10</v>
      </c>
      <c r="C13" s="3">
        <v>712.44858999999997</v>
      </c>
      <c r="D13" s="3">
        <v>28.215228992389029</v>
      </c>
    </row>
    <row r="14" spans="1:4" x14ac:dyDescent="0.45">
      <c r="A14" t="s">
        <v>251</v>
      </c>
      <c r="B14" t="s">
        <v>254</v>
      </c>
      <c r="C14" s="3">
        <v>204.84261000000001</v>
      </c>
      <c r="D14" s="3">
        <v>8.112418537523725</v>
      </c>
    </row>
    <row r="15" spans="1:4" x14ac:dyDescent="0.45">
      <c r="A15" t="s">
        <v>244</v>
      </c>
      <c r="B15" t="s">
        <v>11</v>
      </c>
      <c r="C15" s="3">
        <v>696.56168000000002</v>
      </c>
      <c r="D15" s="3">
        <v>27.586056852920731</v>
      </c>
    </row>
    <row r="16" spans="1:4" x14ac:dyDescent="0.45">
      <c r="A16" t="s">
        <v>244</v>
      </c>
      <c r="B16" t="s">
        <v>12</v>
      </c>
      <c r="C16" s="3">
        <v>637.70324000000005</v>
      </c>
      <c r="D16" s="3">
        <v>25.255075521713671</v>
      </c>
    </row>
    <row r="17" spans="1:4" x14ac:dyDescent="0.45">
      <c r="A17" t="s">
        <v>243</v>
      </c>
      <c r="B17" t="s">
        <v>255</v>
      </c>
      <c r="C17" s="3">
        <v>100.61360999999999</v>
      </c>
      <c r="D17" s="3">
        <v>3.9846188002153569</v>
      </c>
    </row>
    <row r="18" spans="1:4" x14ac:dyDescent="0.45">
      <c r="A18" t="s">
        <v>243</v>
      </c>
      <c r="B18" t="s">
        <v>13</v>
      </c>
      <c r="C18" s="3">
        <v>825.62428</v>
      </c>
      <c r="D18" s="3">
        <v>32.697346094651287</v>
      </c>
    </row>
    <row r="19" spans="1:4" x14ac:dyDescent="0.45">
      <c r="A19" t="s">
        <v>244</v>
      </c>
      <c r="B19" t="s">
        <v>256</v>
      </c>
      <c r="C19" s="3">
        <v>50.747579999999999</v>
      </c>
      <c r="D19" s="3">
        <v>2.0097654913031429</v>
      </c>
    </row>
    <row r="20" spans="1:4" x14ac:dyDescent="0.45">
      <c r="A20" t="s">
        <v>245</v>
      </c>
      <c r="B20" t="s">
        <v>14</v>
      </c>
      <c r="C20" s="3">
        <v>819.0933</v>
      </c>
      <c r="D20" s="3">
        <v>32.438698525084611</v>
      </c>
    </row>
    <row r="21" spans="1:4" x14ac:dyDescent="0.45">
      <c r="A21" t="s">
        <v>243</v>
      </c>
      <c r="B21" t="s">
        <v>15</v>
      </c>
      <c r="C21" s="3">
        <v>745.42840000000001</v>
      </c>
      <c r="D21" s="3">
        <v>29.52133430909052</v>
      </c>
    </row>
    <row r="22" spans="1:4" x14ac:dyDescent="0.45">
      <c r="A22" t="s">
        <v>249</v>
      </c>
      <c r="B22" t="s">
        <v>16</v>
      </c>
      <c r="C22" s="3">
        <v>1770.07789</v>
      </c>
      <c r="D22" s="3">
        <v>70.100711408123928</v>
      </c>
    </row>
    <row r="23" spans="1:4" x14ac:dyDescent="0.45">
      <c r="A23" t="s">
        <v>249</v>
      </c>
      <c r="B23" t="s">
        <v>257</v>
      </c>
      <c r="C23" s="3">
        <v>186.12092000000001</v>
      </c>
      <c r="D23" s="3">
        <v>7.3709800984715539</v>
      </c>
    </row>
    <row r="24" spans="1:4" x14ac:dyDescent="0.45">
      <c r="A24" t="s">
        <v>249</v>
      </c>
      <c r="B24" t="s">
        <v>258</v>
      </c>
      <c r="C24" s="3">
        <v>68.123000000000005</v>
      </c>
      <c r="D24" s="3">
        <v>2.6978873586493002</v>
      </c>
    </row>
    <row r="25" spans="1:4" x14ac:dyDescent="0.45">
      <c r="A25" t="s">
        <v>248</v>
      </c>
      <c r="B25" t="s">
        <v>259</v>
      </c>
      <c r="C25" s="3">
        <v>453.07098999999999</v>
      </c>
      <c r="D25" s="3">
        <v>17.943051487628601</v>
      </c>
    </row>
    <row r="26" spans="1:4" x14ac:dyDescent="0.45">
      <c r="A26" t="s">
        <v>248</v>
      </c>
      <c r="B26" t="s">
        <v>260</v>
      </c>
      <c r="C26" s="3">
        <v>49.899749999999997</v>
      </c>
      <c r="D26" s="3">
        <v>1.976188728105932</v>
      </c>
    </row>
    <row r="27" spans="1:4" x14ac:dyDescent="0.45">
      <c r="A27" t="s">
        <v>248</v>
      </c>
      <c r="B27" t="s">
        <v>17</v>
      </c>
      <c r="C27" s="3">
        <v>1454.2218800000001</v>
      </c>
      <c r="D27" s="3">
        <v>57.591809326119211</v>
      </c>
    </row>
    <row r="28" spans="1:4" x14ac:dyDescent="0.45">
      <c r="A28" t="s">
        <v>244</v>
      </c>
      <c r="B28" t="s">
        <v>261</v>
      </c>
      <c r="C28" s="3">
        <v>159.19081</v>
      </c>
      <c r="D28" s="3">
        <v>6.3044621333784852</v>
      </c>
    </row>
    <row r="29" spans="1:4" x14ac:dyDescent="0.45">
      <c r="A29" t="s">
        <v>251</v>
      </c>
      <c r="B29" t="s">
        <v>18</v>
      </c>
      <c r="C29" s="3">
        <v>497.91298999999998</v>
      </c>
      <c r="D29" s="3">
        <v>19.718937237471561</v>
      </c>
    </row>
    <row r="30" spans="1:4" x14ac:dyDescent="0.45">
      <c r="A30" t="s">
        <v>244</v>
      </c>
      <c r="B30" t="s">
        <v>262</v>
      </c>
      <c r="C30" s="3">
        <v>374.35825</v>
      </c>
      <c r="D30" s="3">
        <v>14.825776760874801</v>
      </c>
    </row>
    <row r="31" spans="1:4" x14ac:dyDescent="0.45">
      <c r="A31" t="s">
        <v>244</v>
      </c>
      <c r="B31" t="s">
        <v>263</v>
      </c>
      <c r="C31" s="3">
        <v>170.78104999999999</v>
      </c>
      <c r="D31" s="3">
        <v>6.7634724820083383</v>
      </c>
    </row>
    <row r="32" spans="1:4" x14ac:dyDescent="0.45">
      <c r="A32" t="s">
        <v>246</v>
      </c>
      <c r="B32" t="s">
        <v>264</v>
      </c>
      <c r="C32" s="3">
        <v>114.47651999999999</v>
      </c>
      <c r="D32" s="3">
        <v>4.5336341055174278</v>
      </c>
    </row>
    <row r="33" spans="1:4" x14ac:dyDescent="0.45">
      <c r="A33" t="s">
        <v>244</v>
      </c>
      <c r="B33" t="s">
        <v>21</v>
      </c>
      <c r="C33" s="3">
        <v>550.47871999999995</v>
      </c>
      <c r="D33" s="3">
        <v>21.800707248556989</v>
      </c>
    </row>
    <row r="34" spans="1:4" x14ac:dyDescent="0.45">
      <c r="A34" t="s">
        <v>243</v>
      </c>
      <c r="B34" t="s">
        <v>22</v>
      </c>
      <c r="C34" s="3">
        <v>934.56796999999995</v>
      </c>
      <c r="D34" s="3">
        <v>37.011862543656882</v>
      </c>
    </row>
    <row r="35" spans="1:4" x14ac:dyDescent="0.45">
      <c r="A35" t="s">
        <v>251</v>
      </c>
      <c r="B35" t="s">
        <v>265</v>
      </c>
      <c r="C35" s="3">
        <v>171.45750000000001</v>
      </c>
      <c r="D35" s="3">
        <v>6.7902620523995179</v>
      </c>
    </row>
    <row r="36" spans="1:4" x14ac:dyDescent="0.45">
      <c r="A36" t="s">
        <v>248</v>
      </c>
      <c r="B36" t="s">
        <v>23</v>
      </c>
      <c r="C36" s="3">
        <v>592.55281000000002</v>
      </c>
      <c r="D36" s="3">
        <v>23.466974963391522</v>
      </c>
    </row>
    <row r="37" spans="1:4" x14ac:dyDescent="0.45">
      <c r="A37" t="s">
        <v>243</v>
      </c>
      <c r="B37" t="s">
        <v>266</v>
      </c>
      <c r="C37" s="3">
        <v>431.85514000000001</v>
      </c>
      <c r="D37" s="3">
        <v>17.102836383801709</v>
      </c>
    </row>
    <row r="38" spans="1:4" x14ac:dyDescent="0.45">
      <c r="A38" t="s">
        <v>245</v>
      </c>
      <c r="B38" t="s">
        <v>24</v>
      </c>
      <c r="C38" s="3">
        <v>616.89374999999995</v>
      </c>
      <c r="D38" s="3">
        <v>24.430953565679161</v>
      </c>
    </row>
    <row r="39" spans="1:4" x14ac:dyDescent="0.45">
      <c r="A39" t="s">
        <v>251</v>
      </c>
      <c r="B39" t="s">
        <v>267</v>
      </c>
      <c r="C39" s="3">
        <v>19.015619999999998</v>
      </c>
      <c r="D39" s="3">
        <v>0.75307900143679518</v>
      </c>
    </row>
    <row r="40" spans="1:4" x14ac:dyDescent="0.45">
      <c r="A40" t="s">
        <v>251</v>
      </c>
      <c r="B40" t="s">
        <v>268</v>
      </c>
      <c r="C40" s="3">
        <v>156.78133</v>
      </c>
      <c r="D40" s="3">
        <v>6.2090390657960493</v>
      </c>
    </row>
    <row r="41" spans="1:4" x14ac:dyDescent="0.45">
      <c r="A41" t="s">
        <v>246</v>
      </c>
      <c r="B41" t="s">
        <v>269</v>
      </c>
      <c r="C41" s="3">
        <v>172.58625000000001</v>
      </c>
      <c r="D41" s="3">
        <v>6.8349641406233976</v>
      </c>
    </row>
    <row r="42" spans="1:4" x14ac:dyDescent="0.45">
      <c r="A42" t="s">
        <v>243</v>
      </c>
      <c r="B42" t="s">
        <v>25</v>
      </c>
      <c r="C42" s="3">
        <v>747.48455000000001</v>
      </c>
      <c r="D42" s="3">
        <v>29.60276438545954</v>
      </c>
    </row>
    <row r="43" spans="1:4" x14ac:dyDescent="0.45">
      <c r="A43" t="s">
        <v>246</v>
      </c>
      <c r="B43" t="s">
        <v>26</v>
      </c>
      <c r="C43" s="3">
        <v>414.76580000000001</v>
      </c>
      <c r="D43" s="3">
        <v>16.426044193885531</v>
      </c>
    </row>
    <row r="44" spans="1:4" x14ac:dyDescent="0.45">
      <c r="A44" t="s">
        <v>246</v>
      </c>
      <c r="B44" t="s">
        <v>270</v>
      </c>
      <c r="C44" s="3">
        <v>123.68465999999999</v>
      </c>
      <c r="D44" s="3">
        <v>4.8983057216041086</v>
      </c>
    </row>
    <row r="45" spans="1:4" x14ac:dyDescent="0.45">
      <c r="A45" t="s">
        <v>251</v>
      </c>
      <c r="B45" t="s">
        <v>271</v>
      </c>
      <c r="C45" s="3">
        <v>729.63867000000005</v>
      </c>
      <c r="D45" s="3">
        <v>28.89601080655121</v>
      </c>
    </row>
    <row r="46" spans="1:4" x14ac:dyDescent="0.45">
      <c r="A46" t="s">
        <v>249</v>
      </c>
      <c r="B46" t="s">
        <v>32</v>
      </c>
      <c r="C46" s="3">
        <v>972.75612000000001</v>
      </c>
      <c r="D46" s="3">
        <v>38.524234681337312</v>
      </c>
    </row>
    <row r="47" spans="1:4" x14ac:dyDescent="0.45">
      <c r="A47" t="s">
        <v>244</v>
      </c>
      <c r="B47" t="s">
        <v>27</v>
      </c>
      <c r="C47" s="3">
        <v>290.99642</v>
      </c>
      <c r="D47" s="3">
        <v>11.524383290961969</v>
      </c>
    </row>
    <row r="48" spans="1:4" x14ac:dyDescent="0.45">
      <c r="A48" t="s">
        <v>245</v>
      </c>
      <c r="B48" t="s">
        <v>28</v>
      </c>
      <c r="C48" s="3">
        <v>1297.8041599999999</v>
      </c>
      <c r="D48" s="3">
        <v>51.397170372216053</v>
      </c>
    </row>
    <row r="49" spans="1:4" x14ac:dyDescent="0.45">
      <c r="A49" t="s">
        <v>244</v>
      </c>
      <c r="B49" t="s">
        <v>29</v>
      </c>
      <c r="C49" s="3">
        <v>983.59100000000001</v>
      </c>
      <c r="D49" s="3">
        <v>38.95333037272615</v>
      </c>
    </row>
    <row r="50" spans="1:4" x14ac:dyDescent="0.45">
      <c r="A50" t="s">
        <v>248</v>
      </c>
      <c r="B50" t="s">
        <v>272</v>
      </c>
      <c r="C50" s="3">
        <v>438.55536000000001</v>
      </c>
      <c r="D50" s="3">
        <v>17.368186395371499</v>
      </c>
    </row>
    <row r="51" spans="1:4" x14ac:dyDescent="0.45">
      <c r="A51" t="s">
        <v>249</v>
      </c>
      <c r="B51" t="s">
        <v>273</v>
      </c>
      <c r="C51" s="3">
        <v>0.6</v>
      </c>
      <c r="D51" s="3">
        <v>2.376190736153105E-2</v>
      </c>
    </row>
    <row r="52" spans="1:4" x14ac:dyDescent="0.45">
      <c r="A52" t="s">
        <v>249</v>
      </c>
      <c r="B52" t="s">
        <v>30</v>
      </c>
      <c r="C52" s="3">
        <v>1321.3894299999999</v>
      </c>
      <c r="D52" s="3">
        <v>52.331222040277197</v>
      </c>
    </row>
    <row r="53" spans="1:4" x14ac:dyDescent="0.45">
      <c r="A53" t="s">
        <v>245</v>
      </c>
      <c r="B53" t="s">
        <v>31</v>
      </c>
      <c r="C53" s="3">
        <v>777.90944000000002</v>
      </c>
      <c r="D53" s="3">
        <v>30.807686748234161</v>
      </c>
    </row>
    <row r="54" spans="1:4" x14ac:dyDescent="0.45">
      <c r="A54" t="s">
        <v>248</v>
      </c>
      <c r="B54" t="s">
        <v>33</v>
      </c>
      <c r="C54" s="3">
        <v>872.21285999999998</v>
      </c>
      <c r="D54" s="3">
        <v>34.542401964760089</v>
      </c>
    </row>
    <row r="55" spans="1:4" x14ac:dyDescent="0.45">
      <c r="A55" t="s">
        <v>249</v>
      </c>
      <c r="B55" t="s">
        <v>274</v>
      </c>
      <c r="C55" s="3">
        <v>305.41874999999999</v>
      </c>
      <c r="D55" s="3">
        <v>12.095553406624351</v>
      </c>
    </row>
    <row r="56" spans="1:4" x14ac:dyDescent="0.45">
      <c r="A56" t="s">
        <v>245</v>
      </c>
      <c r="B56" t="s">
        <v>34</v>
      </c>
      <c r="C56" s="3">
        <v>1377.2092600000001</v>
      </c>
      <c r="D56" s="3">
        <v>54.541864755937887</v>
      </c>
    </row>
    <row r="57" spans="1:4" x14ac:dyDescent="0.45">
      <c r="A57" t="s">
        <v>243</v>
      </c>
      <c r="B57" t="s">
        <v>35</v>
      </c>
      <c r="C57" s="3">
        <v>501.76159999999999</v>
      </c>
      <c r="D57" s="3">
        <v>19.871354427956</v>
      </c>
    </row>
    <row r="58" spans="1:4" x14ac:dyDescent="0.45">
      <c r="A58" t="s">
        <v>251</v>
      </c>
      <c r="B58" t="s">
        <v>36</v>
      </c>
      <c r="C58" s="3">
        <v>411.81524999999999</v>
      </c>
      <c r="D58" s="3">
        <v>16.309193034276252</v>
      </c>
    </row>
    <row r="59" spans="1:4" x14ac:dyDescent="0.45">
      <c r="A59" t="s">
        <v>246</v>
      </c>
      <c r="B59" t="s">
        <v>275</v>
      </c>
      <c r="C59" s="3">
        <v>131.39052000000001</v>
      </c>
      <c r="D59" s="3">
        <v>5.203482274038989</v>
      </c>
    </row>
    <row r="60" spans="1:4" x14ac:dyDescent="0.45">
      <c r="A60" t="s">
        <v>246</v>
      </c>
      <c r="B60" t="s">
        <v>37</v>
      </c>
      <c r="C60" s="3">
        <v>1043.7823699999999</v>
      </c>
      <c r="D60" s="3">
        <v>41.337099969232213</v>
      </c>
    </row>
    <row r="61" spans="1:4" x14ac:dyDescent="0.45">
      <c r="A61" t="s">
        <v>248</v>
      </c>
      <c r="B61" t="s">
        <v>38</v>
      </c>
      <c r="C61" s="3">
        <v>771.30050000000006</v>
      </c>
      <c r="D61" s="3">
        <v>30.545951714837638</v>
      </c>
    </row>
    <row r="62" spans="1:4" x14ac:dyDescent="0.45">
      <c r="A62" t="s">
        <v>246</v>
      </c>
      <c r="B62" t="s">
        <v>39</v>
      </c>
      <c r="C62" s="3">
        <v>691.01679999999999</v>
      </c>
      <c r="D62" s="3">
        <v>27.36646197810272</v>
      </c>
    </row>
    <row r="63" spans="1:4" x14ac:dyDescent="0.45">
      <c r="A63" t="s">
        <v>244</v>
      </c>
      <c r="B63" t="s">
        <v>276</v>
      </c>
      <c r="C63" s="3">
        <v>316.92111</v>
      </c>
      <c r="D63" s="3">
        <v>12.551083427889321</v>
      </c>
    </row>
    <row r="64" spans="1:4" x14ac:dyDescent="0.45">
      <c r="A64" t="s">
        <v>248</v>
      </c>
      <c r="B64" t="s">
        <v>40</v>
      </c>
      <c r="C64" s="3">
        <v>3095.28134</v>
      </c>
      <c r="D64" s="3">
        <v>122.58298076492621</v>
      </c>
    </row>
    <row r="65" spans="1:4" x14ac:dyDescent="0.45">
      <c r="A65" t="s">
        <v>245</v>
      </c>
      <c r="B65" t="s">
        <v>42</v>
      </c>
      <c r="C65" s="3">
        <v>394.27483999999998</v>
      </c>
      <c r="D65" s="3">
        <v>15.61453703843746</v>
      </c>
    </row>
    <row r="66" spans="1:4" x14ac:dyDescent="0.45">
      <c r="A66" t="s">
        <v>245</v>
      </c>
      <c r="B66" t="s">
        <v>41</v>
      </c>
      <c r="C66" s="3">
        <v>990.96482000000003</v>
      </c>
      <c r="D66" s="3">
        <v>39.245357085627163</v>
      </c>
    </row>
    <row r="67" spans="1:4" x14ac:dyDescent="0.45">
      <c r="A67" t="s">
        <v>243</v>
      </c>
      <c r="B67" t="s">
        <v>43</v>
      </c>
      <c r="C67" s="3">
        <v>421.07567</v>
      </c>
      <c r="D67" s="3">
        <v>16.675935104557698</v>
      </c>
    </row>
    <row r="68" spans="1:4" x14ac:dyDescent="0.45">
      <c r="A68" t="s">
        <v>251</v>
      </c>
      <c r="B68" t="s">
        <v>277</v>
      </c>
      <c r="C68" s="3">
        <v>140.27997999999999</v>
      </c>
      <c r="D68" s="3">
        <v>5.5555331490623807</v>
      </c>
    </row>
    <row r="69" spans="1:4" x14ac:dyDescent="0.45">
      <c r="A69" t="s">
        <v>249</v>
      </c>
      <c r="B69" t="s">
        <v>278</v>
      </c>
      <c r="C69" s="3">
        <v>49.557549999999999</v>
      </c>
      <c r="D69" s="3">
        <v>1.9626365202740721</v>
      </c>
    </row>
    <row r="70" spans="1:4" x14ac:dyDescent="0.45">
      <c r="A70" t="s">
        <v>249</v>
      </c>
      <c r="B70" t="s">
        <v>279</v>
      </c>
      <c r="C70" s="3">
        <v>239.70625000000001</v>
      </c>
      <c r="D70" s="3">
        <v>9.4931295108000047</v>
      </c>
    </row>
    <row r="71" spans="1:4" x14ac:dyDescent="0.45">
      <c r="A71" t="s">
        <v>248</v>
      </c>
      <c r="B71" t="s">
        <v>280</v>
      </c>
      <c r="C71" s="3">
        <v>522.6893</v>
      </c>
      <c r="D71" s="3">
        <v>20.700157875772518</v>
      </c>
    </row>
    <row r="72" spans="1:4" x14ac:dyDescent="0.45">
      <c r="A72" t="s">
        <v>248</v>
      </c>
      <c r="B72" t="s">
        <v>45</v>
      </c>
      <c r="C72" s="3">
        <v>566.86720000000003</v>
      </c>
      <c r="D72" s="3">
        <v>22.44974315448416</v>
      </c>
    </row>
    <row r="73" spans="1:4" x14ac:dyDescent="0.45">
      <c r="A73" t="s">
        <v>243</v>
      </c>
      <c r="B73" t="s">
        <v>46</v>
      </c>
      <c r="C73" s="3">
        <v>1317.2668200000001</v>
      </c>
      <c r="D73" s="3">
        <v>52.167953578764333</v>
      </c>
    </row>
    <row r="74" spans="1:4" x14ac:dyDescent="0.45">
      <c r="A74" t="s">
        <v>243</v>
      </c>
      <c r="B74" t="s">
        <v>281</v>
      </c>
      <c r="C74" s="3">
        <v>78.59666</v>
      </c>
      <c r="D74" s="3">
        <v>3.1126775897429222</v>
      </c>
    </row>
    <row r="75" spans="1:4" x14ac:dyDescent="0.45">
      <c r="A75" t="s">
        <v>248</v>
      </c>
      <c r="B75" t="s">
        <v>47</v>
      </c>
      <c r="C75" s="3">
        <v>2225.0305699999999</v>
      </c>
      <c r="D75" s="3">
        <v>88.118283801524385</v>
      </c>
    </row>
    <row r="76" spans="1:4" x14ac:dyDescent="0.45">
      <c r="A76" t="s">
        <v>245</v>
      </c>
      <c r="B76" t="s">
        <v>49</v>
      </c>
      <c r="C76" s="3">
        <v>266.88056</v>
      </c>
      <c r="D76" s="3">
        <v>10.56931857218922</v>
      </c>
    </row>
    <row r="77" spans="1:4" x14ac:dyDescent="0.45">
      <c r="A77" t="s">
        <v>249</v>
      </c>
      <c r="B77" t="s">
        <v>50</v>
      </c>
      <c r="C77" s="3">
        <v>436.62135000000001</v>
      </c>
      <c r="D77" s="3">
        <v>17.291593451277709</v>
      </c>
    </row>
    <row r="78" spans="1:4" x14ac:dyDescent="0.45">
      <c r="A78" t="s">
        <v>245</v>
      </c>
      <c r="B78" t="s">
        <v>282</v>
      </c>
      <c r="C78" s="3">
        <v>211.03749999999999</v>
      </c>
      <c r="D78" s="3">
        <v>8.3577558746818497</v>
      </c>
    </row>
    <row r="79" spans="1:4" x14ac:dyDescent="0.45">
      <c r="A79" t="s">
        <v>245</v>
      </c>
      <c r="B79" t="s">
        <v>283</v>
      </c>
      <c r="C79" s="3">
        <v>89.372209999999995</v>
      </c>
      <c r="D79" s="3">
        <v>3.5394236245254991</v>
      </c>
    </row>
    <row r="80" spans="1:4" x14ac:dyDescent="0.45">
      <c r="A80" t="s">
        <v>251</v>
      </c>
      <c r="B80" t="s">
        <v>51</v>
      </c>
      <c r="C80" s="3">
        <v>593.78575000000001</v>
      </c>
      <c r="D80" s="3">
        <v>23.51580330682873</v>
      </c>
    </row>
    <row r="81" spans="1:4" x14ac:dyDescent="0.45">
      <c r="A81" t="s">
        <v>248</v>
      </c>
      <c r="B81" t="s">
        <v>52</v>
      </c>
      <c r="C81" s="3">
        <v>2481.4714199999999</v>
      </c>
      <c r="D81" s="3">
        <v>98.274156670544855</v>
      </c>
    </row>
    <row r="82" spans="1:4" x14ac:dyDescent="0.45">
      <c r="A82" t="s">
        <v>248</v>
      </c>
      <c r="B82" t="s">
        <v>53</v>
      </c>
      <c r="C82" s="3">
        <v>644.64517999999998</v>
      </c>
      <c r="D82" s="3">
        <v>25.52999841369585</v>
      </c>
    </row>
    <row r="83" spans="1:4" x14ac:dyDescent="0.45">
      <c r="A83" t="s">
        <v>244</v>
      </c>
      <c r="B83" t="s">
        <v>284</v>
      </c>
      <c r="C83" s="3">
        <v>317.80155999999999</v>
      </c>
      <c r="D83" s="3">
        <v>12.58595204678342</v>
      </c>
    </row>
    <row r="84" spans="1:4" x14ac:dyDescent="0.45">
      <c r="A84" t="s">
        <v>244</v>
      </c>
      <c r="B84" t="s">
        <v>54</v>
      </c>
      <c r="C84" s="3">
        <v>1094.04384</v>
      </c>
      <c r="D84" s="3">
        <v>43.327613959222838</v>
      </c>
    </row>
    <row r="85" spans="1:4" x14ac:dyDescent="0.45">
      <c r="A85" t="s">
        <v>243</v>
      </c>
      <c r="B85" t="s">
        <v>285</v>
      </c>
      <c r="C85" s="3">
        <v>192.94806</v>
      </c>
      <c r="D85" s="3">
        <v>7.6413565455118917</v>
      </c>
    </row>
    <row r="86" spans="1:4" x14ac:dyDescent="0.45">
      <c r="A86" t="s">
        <v>243</v>
      </c>
      <c r="B86" t="s">
        <v>286</v>
      </c>
      <c r="C86" s="3">
        <v>44.980890000000002</v>
      </c>
      <c r="D86" s="3">
        <v>1.781386235365364</v>
      </c>
    </row>
    <row r="87" spans="1:4" x14ac:dyDescent="0.45">
      <c r="A87" t="s">
        <v>243</v>
      </c>
      <c r="B87" t="s">
        <v>55</v>
      </c>
      <c r="C87" s="3">
        <v>2545.86141</v>
      </c>
      <c r="D87" s="3">
        <v>100.8242049661947</v>
      </c>
    </row>
    <row r="88" spans="1:4" x14ac:dyDescent="0.45">
      <c r="A88" t="s">
        <v>251</v>
      </c>
      <c r="B88" t="s">
        <v>287</v>
      </c>
      <c r="C88" s="3">
        <v>226.6215</v>
      </c>
      <c r="D88" s="3">
        <v>8.9749318152186817</v>
      </c>
    </row>
    <row r="89" spans="1:4" x14ac:dyDescent="0.45">
      <c r="A89" t="s">
        <v>248</v>
      </c>
      <c r="B89" t="s">
        <v>56</v>
      </c>
      <c r="C89" s="3">
        <v>1046.1111800000001</v>
      </c>
      <c r="D89" s="3">
        <v>41.429328248369899</v>
      </c>
    </row>
    <row r="90" spans="1:4" x14ac:dyDescent="0.45">
      <c r="A90" t="s">
        <v>251</v>
      </c>
      <c r="B90" t="s">
        <v>288</v>
      </c>
      <c r="C90" s="3">
        <v>22.66122</v>
      </c>
      <c r="D90" s="3">
        <v>0.89745635056545792</v>
      </c>
    </row>
    <row r="91" spans="1:4" x14ac:dyDescent="0.45">
      <c r="A91" t="s">
        <v>251</v>
      </c>
      <c r="B91" t="s">
        <v>289</v>
      </c>
      <c r="C91" s="3">
        <v>102.02500000000001</v>
      </c>
      <c r="D91" s="3">
        <v>4.0405143309336768</v>
      </c>
    </row>
    <row r="92" spans="1:4" x14ac:dyDescent="0.45">
      <c r="A92" t="s">
        <v>244</v>
      </c>
      <c r="B92" t="s">
        <v>57</v>
      </c>
      <c r="C92" s="3">
        <v>192.47499999999999</v>
      </c>
      <c r="D92" s="3">
        <v>7.6226218656844829</v>
      </c>
    </row>
    <row r="93" spans="1:4" x14ac:dyDescent="0.45">
      <c r="A93" t="s">
        <v>244</v>
      </c>
      <c r="B93" t="s">
        <v>58</v>
      </c>
      <c r="C93" s="3">
        <v>1778.24964</v>
      </c>
      <c r="D93" s="3">
        <v>70.424338685593241</v>
      </c>
    </row>
    <row r="94" spans="1:4" x14ac:dyDescent="0.45">
      <c r="A94" t="s">
        <v>244</v>
      </c>
      <c r="B94" t="s">
        <v>290</v>
      </c>
      <c r="C94" s="3">
        <v>214.71205</v>
      </c>
      <c r="D94" s="3">
        <v>8.5032797358407066</v>
      </c>
    </row>
    <row r="95" spans="1:4" x14ac:dyDescent="0.45">
      <c r="A95" t="s">
        <v>248</v>
      </c>
      <c r="B95" t="s">
        <v>291</v>
      </c>
      <c r="C95" s="3">
        <v>4.25</v>
      </c>
      <c r="D95" s="3">
        <v>0.16831351047751161</v>
      </c>
    </row>
    <row r="96" spans="1:4" x14ac:dyDescent="0.45">
      <c r="A96" t="s">
        <v>248</v>
      </c>
      <c r="B96" t="s">
        <v>59</v>
      </c>
      <c r="C96" s="3">
        <v>1581.18742</v>
      </c>
      <c r="D96" s="3">
        <v>62.620048325430481</v>
      </c>
    </row>
    <row r="97" spans="1:4" x14ac:dyDescent="0.45">
      <c r="A97" t="s">
        <v>245</v>
      </c>
      <c r="B97" t="s">
        <v>60</v>
      </c>
      <c r="C97" s="3">
        <v>1044.5367200000001</v>
      </c>
      <c r="D97" s="3">
        <v>41.366974627262508</v>
      </c>
    </row>
    <row r="98" spans="1:4" x14ac:dyDescent="0.45">
      <c r="A98" t="s">
        <v>244</v>
      </c>
      <c r="B98" t="s">
        <v>61</v>
      </c>
      <c r="C98" s="3">
        <v>3605.2630899999999</v>
      </c>
      <c r="D98" s="3">
        <v>142.77987926421201</v>
      </c>
    </row>
    <row r="99" spans="1:4" x14ac:dyDescent="0.45">
      <c r="A99" t="s">
        <v>245</v>
      </c>
      <c r="B99" t="s">
        <v>62</v>
      </c>
      <c r="C99" s="3">
        <v>753.37289999999996</v>
      </c>
      <c r="D99" s="3">
        <v>29.83596176414666</v>
      </c>
    </row>
    <row r="100" spans="1:4" x14ac:dyDescent="0.45">
      <c r="A100" t="s">
        <v>244</v>
      </c>
      <c r="B100" t="s">
        <v>63</v>
      </c>
      <c r="C100" s="3">
        <v>1286.90201</v>
      </c>
      <c r="D100" s="3">
        <v>50.965410574980183</v>
      </c>
    </row>
    <row r="101" spans="1:4" x14ac:dyDescent="0.45">
      <c r="A101" t="s">
        <v>244</v>
      </c>
      <c r="B101" t="s">
        <v>292</v>
      </c>
      <c r="C101" s="3">
        <v>265.50745000000001</v>
      </c>
      <c r="D101" s="3">
        <v>10.51493905116056</v>
      </c>
    </row>
    <row r="102" spans="1:4" x14ac:dyDescent="0.45">
      <c r="A102" t="s">
        <v>249</v>
      </c>
      <c r="B102" t="s">
        <v>66</v>
      </c>
      <c r="C102" s="3">
        <v>2208.77549</v>
      </c>
      <c r="D102" s="3">
        <v>87.474530959667263</v>
      </c>
    </row>
    <row r="103" spans="1:4" x14ac:dyDescent="0.45">
      <c r="A103" t="s">
        <v>244</v>
      </c>
      <c r="B103" t="s">
        <v>64</v>
      </c>
      <c r="C103" s="3">
        <v>475.40388000000002</v>
      </c>
      <c r="D103" s="3">
        <v>18.82750492645404</v>
      </c>
    </row>
    <row r="104" spans="1:4" x14ac:dyDescent="0.45">
      <c r="A104" t="s">
        <v>243</v>
      </c>
      <c r="B104" t="s">
        <v>65</v>
      </c>
      <c r="C104" s="3">
        <v>1017.56548</v>
      </c>
      <c r="D104" s="3">
        <v>40.298827783419803</v>
      </c>
    </row>
    <row r="105" spans="1:4" x14ac:dyDescent="0.45">
      <c r="A105" t="s">
        <v>251</v>
      </c>
      <c r="B105" t="s">
        <v>293</v>
      </c>
      <c r="C105" s="3">
        <v>229.43804</v>
      </c>
      <c r="D105" s="3">
        <v>9.0864757528187603</v>
      </c>
    </row>
    <row r="106" spans="1:4" x14ac:dyDescent="0.45">
      <c r="A106" t="s">
        <v>249</v>
      </c>
      <c r="B106" t="s">
        <v>67</v>
      </c>
      <c r="C106" s="3">
        <v>531.08074999999997</v>
      </c>
      <c r="D106" s="3">
        <v>21.032485971654051</v>
      </c>
    </row>
    <row r="107" spans="1:4" x14ac:dyDescent="0.45">
      <c r="A107" t="s">
        <v>248</v>
      </c>
      <c r="B107" t="s">
        <v>68</v>
      </c>
      <c r="C107" s="3">
        <v>339.92012999999997</v>
      </c>
      <c r="D107" s="3">
        <v>13.46191773229932</v>
      </c>
    </row>
    <row r="108" spans="1:4" x14ac:dyDescent="0.45">
      <c r="A108" t="s">
        <v>243</v>
      </c>
      <c r="B108" t="s">
        <v>294</v>
      </c>
      <c r="C108" s="3">
        <v>2018.26594</v>
      </c>
      <c r="D108" s="3">
        <v>79.929747162022323</v>
      </c>
    </row>
    <row r="109" spans="1:4" x14ac:dyDescent="0.45">
      <c r="A109" t="s">
        <v>249</v>
      </c>
      <c r="B109" t="s">
        <v>69</v>
      </c>
      <c r="C109" s="3">
        <v>1277.21739</v>
      </c>
      <c r="D109" s="3">
        <v>50.581868836194133</v>
      </c>
    </row>
    <row r="110" spans="1:4" x14ac:dyDescent="0.45">
      <c r="A110" t="s">
        <v>249</v>
      </c>
      <c r="B110" t="s">
        <v>295</v>
      </c>
      <c r="C110" s="3">
        <v>234.98750000000001</v>
      </c>
      <c r="D110" s="3">
        <v>9.3062520101962978</v>
      </c>
    </row>
    <row r="111" spans="1:4" x14ac:dyDescent="0.45">
      <c r="A111" t="s">
        <v>249</v>
      </c>
      <c r="B111" t="s">
        <v>296</v>
      </c>
      <c r="C111" s="3">
        <v>14.72</v>
      </c>
      <c r="D111" s="3">
        <v>0.58295879393622851</v>
      </c>
    </row>
    <row r="112" spans="1:4" x14ac:dyDescent="0.45">
      <c r="A112" t="s">
        <v>246</v>
      </c>
      <c r="B112" t="s">
        <v>70</v>
      </c>
      <c r="C112" s="3">
        <v>1244.57377</v>
      </c>
      <c r="D112" s="3">
        <v>49.289077712219097</v>
      </c>
    </row>
    <row r="113" spans="1:4" x14ac:dyDescent="0.45">
      <c r="A113" t="s">
        <v>243</v>
      </c>
      <c r="B113" t="s">
        <v>179</v>
      </c>
      <c r="C113" s="3">
        <v>638.28165000000001</v>
      </c>
      <c r="D113" s="3">
        <v>25.277982396441981</v>
      </c>
    </row>
    <row r="114" spans="1:4" x14ac:dyDescent="0.45">
      <c r="A114" t="s">
        <v>243</v>
      </c>
      <c r="B114" t="s">
        <v>297</v>
      </c>
      <c r="C114" s="3">
        <v>0.20455000000000001</v>
      </c>
      <c r="D114" s="3">
        <v>8.1008302513352944E-3</v>
      </c>
    </row>
    <row r="115" spans="1:4" x14ac:dyDescent="0.45">
      <c r="A115" t="s">
        <v>248</v>
      </c>
      <c r="B115" t="s">
        <v>298</v>
      </c>
      <c r="C115" s="3">
        <v>267.69716</v>
      </c>
      <c r="D115" s="3">
        <v>10.60165852810826</v>
      </c>
    </row>
    <row r="116" spans="1:4" x14ac:dyDescent="0.45">
      <c r="A116" t="s">
        <v>248</v>
      </c>
      <c r="B116" t="s">
        <v>299</v>
      </c>
      <c r="C116" s="3">
        <v>392.23041999999998</v>
      </c>
      <c r="D116" s="3">
        <v>15.53357150735736</v>
      </c>
    </row>
    <row r="117" spans="1:4" x14ac:dyDescent="0.45">
      <c r="A117" t="s">
        <v>251</v>
      </c>
      <c r="B117" t="s">
        <v>300</v>
      </c>
      <c r="C117" s="3">
        <v>61.422220000000003</v>
      </c>
      <c r="D117" s="3">
        <v>2.4325151692992999</v>
      </c>
    </row>
    <row r="118" spans="1:4" x14ac:dyDescent="0.45">
      <c r="A118" t="s">
        <v>243</v>
      </c>
      <c r="B118" t="s">
        <v>72</v>
      </c>
      <c r="C118" s="3">
        <v>553.57685000000004</v>
      </c>
      <c r="D118" s="3">
        <v>21.92340304531362</v>
      </c>
    </row>
    <row r="119" spans="1:4" x14ac:dyDescent="0.45">
      <c r="A119" t="s">
        <v>244</v>
      </c>
      <c r="B119" t="s">
        <v>301</v>
      </c>
      <c r="C119" s="3">
        <v>2.84</v>
      </c>
      <c r="D119" s="3">
        <v>0.1124730281779136</v>
      </c>
    </row>
    <row r="120" spans="1:4" x14ac:dyDescent="0.45">
      <c r="A120" t="s">
        <v>249</v>
      </c>
      <c r="B120" t="s">
        <v>73</v>
      </c>
      <c r="C120" s="3">
        <v>1054.6564499999999</v>
      </c>
      <c r="D120" s="3">
        <v>41.767748105235341</v>
      </c>
    </row>
    <row r="121" spans="1:4" x14ac:dyDescent="0.45">
      <c r="A121" t="s">
        <v>251</v>
      </c>
      <c r="B121" t="s">
        <v>74</v>
      </c>
      <c r="C121" s="3">
        <v>804.03075000000001</v>
      </c>
      <c r="D121" s="3">
        <v>31.842173662203891</v>
      </c>
    </row>
    <row r="122" spans="1:4" x14ac:dyDescent="0.45">
      <c r="A122" t="s">
        <v>251</v>
      </c>
      <c r="B122" t="s">
        <v>302</v>
      </c>
      <c r="C122" s="3">
        <v>151.60694000000001</v>
      </c>
      <c r="D122" s="3">
        <v>6.0041167727419964</v>
      </c>
    </row>
    <row r="123" spans="1:4" x14ac:dyDescent="0.45">
      <c r="A123" t="s">
        <v>244</v>
      </c>
      <c r="B123" t="s">
        <v>75</v>
      </c>
      <c r="C123" s="3">
        <v>2087.01316</v>
      </c>
      <c r="D123" s="3">
        <v>82.65235561702697</v>
      </c>
    </row>
    <row r="124" spans="1:4" x14ac:dyDescent="0.45">
      <c r="A124" t="s">
        <v>243</v>
      </c>
      <c r="B124" t="s">
        <v>76</v>
      </c>
      <c r="C124" s="3">
        <v>684.19785000000002</v>
      </c>
      <c r="D124" s="3">
        <v>27.09640988109787</v>
      </c>
    </row>
    <row r="125" spans="1:4" x14ac:dyDescent="0.45">
      <c r="A125" t="s">
        <v>243</v>
      </c>
      <c r="B125" t="s">
        <v>77</v>
      </c>
      <c r="C125" s="3">
        <v>806.04100000000005</v>
      </c>
      <c r="D125" s="3">
        <v>31.921785952659761</v>
      </c>
    </row>
    <row r="126" spans="1:4" x14ac:dyDescent="0.45">
      <c r="A126" t="s">
        <v>251</v>
      </c>
      <c r="B126" t="s">
        <v>78</v>
      </c>
      <c r="C126" s="3">
        <v>2319.4453400000002</v>
      </c>
      <c r="D126" s="3">
        <v>91.857408832024831</v>
      </c>
    </row>
    <row r="127" spans="1:4" x14ac:dyDescent="0.45">
      <c r="A127" t="s">
        <v>251</v>
      </c>
      <c r="B127" t="s">
        <v>303</v>
      </c>
      <c r="C127" s="3">
        <v>255.80457999999999</v>
      </c>
      <c r="D127" s="3">
        <v>10.130674554358929</v>
      </c>
    </row>
    <row r="128" spans="1:4" x14ac:dyDescent="0.45">
      <c r="A128" t="s">
        <v>245</v>
      </c>
      <c r="B128" t="s">
        <v>304</v>
      </c>
      <c r="C128" s="3">
        <v>264.96265</v>
      </c>
      <c r="D128" s="3">
        <v>10.49336323927629</v>
      </c>
    </row>
    <row r="129" spans="1:4" x14ac:dyDescent="0.45">
      <c r="A129" t="s">
        <v>245</v>
      </c>
      <c r="B129" t="s">
        <v>80</v>
      </c>
      <c r="C129" s="3">
        <v>2179.13085</v>
      </c>
      <c r="D129" s="3">
        <v>86.30050897725738</v>
      </c>
    </row>
    <row r="130" spans="1:4" x14ac:dyDescent="0.45">
      <c r="A130" t="s">
        <v>248</v>
      </c>
      <c r="B130" t="s">
        <v>305</v>
      </c>
      <c r="C130" s="3">
        <v>219.04167000000001</v>
      </c>
      <c r="D130" s="3">
        <v>8.6747464514250936</v>
      </c>
    </row>
    <row r="131" spans="1:4" x14ac:dyDescent="0.45">
      <c r="A131" t="s">
        <v>244</v>
      </c>
      <c r="B131" t="s">
        <v>306</v>
      </c>
      <c r="C131" s="3">
        <v>199.05005</v>
      </c>
      <c r="D131" s="3">
        <v>7.8830147473468726</v>
      </c>
    </row>
    <row r="132" spans="1:4" x14ac:dyDescent="0.45">
      <c r="A132" t="s">
        <v>245</v>
      </c>
      <c r="B132" t="s">
        <v>82</v>
      </c>
      <c r="C132" s="3">
        <v>1208.1735000000001</v>
      </c>
      <c r="D132" s="3">
        <v>47.847511306094567</v>
      </c>
    </row>
    <row r="133" spans="1:4" x14ac:dyDescent="0.45">
      <c r="A133" t="s">
        <v>249</v>
      </c>
      <c r="B133" t="s">
        <v>307</v>
      </c>
      <c r="C133" s="3">
        <v>608.12036000000001</v>
      </c>
      <c r="D133" s="3">
        <v>24.083499431634859</v>
      </c>
    </row>
    <row r="134" spans="1:4" x14ac:dyDescent="0.45">
      <c r="A134" t="s">
        <v>249</v>
      </c>
      <c r="B134" t="s">
        <v>308</v>
      </c>
      <c r="C134" s="3">
        <v>479.87347999999997</v>
      </c>
      <c r="D134" s="3">
        <v>19.004515295025879</v>
      </c>
    </row>
    <row r="135" spans="1:4" x14ac:dyDescent="0.45">
      <c r="A135" t="s">
        <v>245</v>
      </c>
      <c r="B135" t="s">
        <v>84</v>
      </c>
      <c r="C135" s="3">
        <v>168.42346000000001</v>
      </c>
      <c r="D135" s="3">
        <v>6.6701044233808853</v>
      </c>
    </row>
    <row r="136" spans="1:4" x14ac:dyDescent="0.45">
      <c r="A136" t="s">
        <v>251</v>
      </c>
      <c r="B136" t="s">
        <v>309</v>
      </c>
      <c r="C136" s="3">
        <v>146.9845</v>
      </c>
      <c r="D136" s="3">
        <v>5.8210534543016017</v>
      </c>
    </row>
    <row r="137" spans="1:4" x14ac:dyDescent="0.45">
      <c r="A137" t="s">
        <v>243</v>
      </c>
      <c r="B137" t="s">
        <v>310</v>
      </c>
      <c r="C137" s="3">
        <v>76.897499999999994</v>
      </c>
      <c r="D137" s="3">
        <v>3.0453854522222241</v>
      </c>
    </row>
    <row r="138" spans="1:4" x14ac:dyDescent="0.45">
      <c r="A138" t="s">
        <v>243</v>
      </c>
      <c r="B138" t="s">
        <v>311</v>
      </c>
      <c r="C138" s="3">
        <v>453.90291000000002</v>
      </c>
      <c r="D138" s="3">
        <v>17.975998164248949</v>
      </c>
    </row>
    <row r="139" spans="1:4" x14ac:dyDescent="0.45">
      <c r="A139" t="s">
        <v>245</v>
      </c>
      <c r="B139" t="s">
        <v>86</v>
      </c>
      <c r="C139" s="3">
        <v>865.56500000000005</v>
      </c>
      <c r="D139" s="3">
        <v>34.279125575639377</v>
      </c>
    </row>
    <row r="140" spans="1:4" x14ac:dyDescent="0.45">
      <c r="A140" t="s">
        <v>246</v>
      </c>
      <c r="B140" t="s">
        <v>87</v>
      </c>
      <c r="C140" s="3">
        <v>913.22636999999997</v>
      </c>
      <c r="D140" s="3">
        <v>36.166667340078803</v>
      </c>
    </row>
    <row r="141" spans="1:4" x14ac:dyDescent="0.45">
      <c r="A141" t="s">
        <v>246</v>
      </c>
      <c r="B141" t="s">
        <v>88</v>
      </c>
      <c r="C141" s="3">
        <v>1357.5121200000001</v>
      </c>
      <c r="D141" s="3">
        <v>53.761795395992714</v>
      </c>
    </row>
    <row r="142" spans="1:4" x14ac:dyDescent="0.45">
      <c r="A142" t="s">
        <v>248</v>
      </c>
      <c r="B142" t="s">
        <v>89</v>
      </c>
      <c r="C142" s="3">
        <v>2554.7736599999998</v>
      </c>
      <c r="D142" s="3">
        <v>101.17715839766601</v>
      </c>
    </row>
    <row r="143" spans="1:4" x14ac:dyDescent="0.45">
      <c r="A143" t="s">
        <v>248</v>
      </c>
      <c r="B143" t="s">
        <v>312</v>
      </c>
      <c r="C143" s="3">
        <v>517.29145000000005</v>
      </c>
      <c r="D143" s="3">
        <v>20.486385856353461</v>
      </c>
    </row>
    <row r="144" spans="1:4" x14ac:dyDescent="0.45">
      <c r="A144" t="s">
        <v>248</v>
      </c>
      <c r="B144" t="s">
        <v>90</v>
      </c>
      <c r="C144" s="3">
        <v>234.98124999999999</v>
      </c>
      <c r="D144" s="3">
        <v>9.3060044903279469</v>
      </c>
    </row>
    <row r="145" spans="1:4" x14ac:dyDescent="0.45">
      <c r="A145" t="s">
        <v>251</v>
      </c>
      <c r="B145" t="s">
        <v>313</v>
      </c>
      <c r="C145" s="3">
        <v>136.20912000000001</v>
      </c>
      <c r="D145" s="3">
        <v>5.3943141520594446</v>
      </c>
    </row>
    <row r="146" spans="1:4" x14ac:dyDescent="0.45">
      <c r="A146" t="s">
        <v>249</v>
      </c>
      <c r="B146" t="s">
        <v>91</v>
      </c>
      <c r="C146" s="3">
        <v>264.33445</v>
      </c>
      <c r="D146" s="3">
        <v>10.468484522268771</v>
      </c>
    </row>
    <row r="147" spans="1:4" x14ac:dyDescent="0.45">
      <c r="A147" t="s">
        <v>245</v>
      </c>
      <c r="B147" t="s">
        <v>92</v>
      </c>
      <c r="C147" s="3">
        <v>753.88572999999997</v>
      </c>
      <c r="D147" s="3">
        <v>29.85627146240035</v>
      </c>
    </row>
    <row r="148" spans="1:4" x14ac:dyDescent="0.45">
      <c r="A148" t="s">
        <v>246</v>
      </c>
      <c r="B148" t="s">
        <v>93</v>
      </c>
      <c r="C148" s="3">
        <v>745.28441999999995</v>
      </c>
      <c r="D148" s="3">
        <v>29.515632243387341</v>
      </c>
    </row>
    <row r="149" spans="1:4" x14ac:dyDescent="0.45">
      <c r="A149" t="s">
        <v>251</v>
      </c>
      <c r="B149" t="s">
        <v>314</v>
      </c>
      <c r="C149" s="3">
        <v>1174.7543800000001</v>
      </c>
      <c r="D149" s="3">
        <v>46.524007916854742</v>
      </c>
    </row>
    <row r="150" spans="1:4" x14ac:dyDescent="0.45">
      <c r="A150" t="s">
        <v>246</v>
      </c>
      <c r="B150" t="s">
        <v>94</v>
      </c>
      <c r="C150" s="3">
        <v>490.6891</v>
      </c>
      <c r="D150" s="3">
        <v>19.432848229188409</v>
      </c>
    </row>
    <row r="151" spans="1:4" x14ac:dyDescent="0.45">
      <c r="A151" t="s">
        <v>251</v>
      </c>
      <c r="B151" t="s">
        <v>95</v>
      </c>
      <c r="C151" s="3">
        <v>894.79340999999999</v>
      </c>
      <c r="D151" s="3">
        <v>35.436663526880793</v>
      </c>
    </row>
    <row r="152" spans="1:4" x14ac:dyDescent="0.45">
      <c r="A152" t="s">
        <v>243</v>
      </c>
      <c r="B152" t="s">
        <v>96</v>
      </c>
      <c r="C152" s="3">
        <v>389.93299999999999</v>
      </c>
      <c r="D152" s="3">
        <v>15.442586372006479</v>
      </c>
    </row>
    <row r="153" spans="1:4" x14ac:dyDescent="0.45">
      <c r="A153" t="s">
        <v>243</v>
      </c>
      <c r="B153" t="s">
        <v>315</v>
      </c>
      <c r="C153" s="3">
        <v>154.0333</v>
      </c>
      <c r="D153" s="3">
        <v>6.1002083419848692</v>
      </c>
    </row>
    <row r="154" spans="1:4" x14ac:dyDescent="0.45">
      <c r="A154" t="s">
        <v>243</v>
      </c>
      <c r="B154" t="s">
        <v>97</v>
      </c>
      <c r="C154" s="3">
        <v>1789.3533</v>
      </c>
      <c r="D154" s="3">
        <v>70.864078919416471</v>
      </c>
    </row>
    <row r="155" spans="1:4" x14ac:dyDescent="0.45">
      <c r="A155" t="s">
        <v>251</v>
      </c>
      <c r="B155" t="s">
        <v>98</v>
      </c>
      <c r="C155" s="3">
        <v>714.51364000000001</v>
      </c>
      <c r="D155" s="3">
        <v>28.297011537050579</v>
      </c>
    </row>
    <row r="156" spans="1:4" x14ac:dyDescent="0.45">
      <c r="A156" t="s">
        <v>251</v>
      </c>
      <c r="B156" t="s">
        <v>316</v>
      </c>
      <c r="C156" s="3">
        <v>868.01059999999995</v>
      </c>
      <c r="D156" s="3">
        <v>34.375979110044973</v>
      </c>
    </row>
    <row r="157" spans="1:4" x14ac:dyDescent="0.45">
      <c r="A157" t="s">
        <v>251</v>
      </c>
      <c r="B157" t="s">
        <v>317</v>
      </c>
      <c r="C157" s="3">
        <v>19.663070000000001</v>
      </c>
      <c r="D157" s="3">
        <v>0.77872007963883405</v>
      </c>
    </row>
    <row r="158" spans="1:4" x14ac:dyDescent="0.45">
      <c r="A158" t="s">
        <v>246</v>
      </c>
      <c r="B158" t="s">
        <v>99</v>
      </c>
      <c r="C158" s="3">
        <v>1188.7940799999999</v>
      </c>
      <c r="D158" s="3">
        <v>47.080024668160888</v>
      </c>
    </row>
    <row r="159" spans="1:4" x14ac:dyDescent="0.45">
      <c r="A159" t="s">
        <v>245</v>
      </c>
      <c r="B159" t="s">
        <v>318</v>
      </c>
      <c r="C159" s="3">
        <v>0.72541</v>
      </c>
      <c r="D159" s="3">
        <v>2.87285420318804E-2</v>
      </c>
    </row>
    <row r="160" spans="1:4" x14ac:dyDescent="0.45">
      <c r="A160" t="s">
        <v>245</v>
      </c>
      <c r="B160" t="s">
        <v>319</v>
      </c>
      <c r="C160" s="3">
        <v>1.64</v>
      </c>
      <c r="D160" s="3">
        <v>6.4949213454851537E-2</v>
      </c>
    </row>
    <row r="161" spans="1:4" x14ac:dyDescent="0.45">
      <c r="A161" t="s">
        <v>248</v>
      </c>
      <c r="B161" t="s">
        <v>100</v>
      </c>
      <c r="C161" s="3">
        <v>499.54169999999999</v>
      </c>
      <c r="D161" s="3">
        <v>19.783439331036231</v>
      </c>
    </row>
    <row r="162" spans="1:4" x14ac:dyDescent="0.45">
      <c r="A162" t="s">
        <v>243</v>
      </c>
      <c r="B162" t="s">
        <v>101</v>
      </c>
      <c r="C162" s="3">
        <v>1189.87139</v>
      </c>
      <c r="D162" s="3">
        <v>47.122689568860316</v>
      </c>
    </row>
    <row r="163" spans="1:4" x14ac:dyDescent="0.45">
      <c r="A163" t="s">
        <v>243</v>
      </c>
      <c r="B163" t="s">
        <v>102</v>
      </c>
      <c r="C163" s="3">
        <v>1004.97028</v>
      </c>
      <c r="D163" s="3">
        <v>39.800017824086538</v>
      </c>
    </row>
    <row r="164" spans="1:4" x14ac:dyDescent="0.45">
      <c r="A164" t="s">
        <v>251</v>
      </c>
      <c r="B164" t="s">
        <v>103</v>
      </c>
      <c r="C164" s="3">
        <v>521.07429999999999</v>
      </c>
      <c r="D164" s="3">
        <v>20.63619874179107</v>
      </c>
    </row>
    <row r="165" spans="1:4" x14ac:dyDescent="0.45">
      <c r="A165" t="s">
        <v>248</v>
      </c>
      <c r="B165" t="s">
        <v>320</v>
      </c>
      <c r="C165" s="3">
        <v>233.26333</v>
      </c>
      <c r="D165" s="3">
        <v>9.2379693971704118</v>
      </c>
    </row>
    <row r="166" spans="1:4" x14ac:dyDescent="0.45">
      <c r="A166" t="s">
        <v>243</v>
      </c>
      <c r="B166" t="s">
        <v>321</v>
      </c>
      <c r="C166" s="3">
        <v>190.78208000000001</v>
      </c>
      <c r="D166" s="3">
        <v>7.5555768520003452</v>
      </c>
    </row>
    <row r="167" spans="1:4" x14ac:dyDescent="0.45">
      <c r="A167" t="s">
        <v>246</v>
      </c>
      <c r="B167" t="s">
        <v>322</v>
      </c>
      <c r="C167" s="3">
        <v>3.5</v>
      </c>
      <c r="D167" s="3">
        <v>0.1386111262755978</v>
      </c>
    </row>
    <row r="168" spans="1:4" x14ac:dyDescent="0.45">
      <c r="A168" t="s">
        <v>248</v>
      </c>
      <c r="B168" t="s">
        <v>105</v>
      </c>
      <c r="C168" s="3">
        <v>1634.0262499999999</v>
      </c>
      <c r="D168" s="3">
        <v>64.712633964683306</v>
      </c>
    </row>
    <row r="169" spans="1:4" x14ac:dyDescent="0.45">
      <c r="A169" t="s">
        <v>244</v>
      </c>
      <c r="B169" t="s">
        <v>106</v>
      </c>
      <c r="C169" s="3">
        <v>624.75630000000001</v>
      </c>
      <c r="D169" s="3">
        <v>24.7423355402215</v>
      </c>
    </row>
    <row r="170" spans="1:4" x14ac:dyDescent="0.45">
      <c r="A170" t="s">
        <v>245</v>
      </c>
      <c r="B170" t="s">
        <v>323</v>
      </c>
      <c r="C170" s="3">
        <v>208.50899999999999</v>
      </c>
      <c r="D170" s="3">
        <v>8.2576192367424639</v>
      </c>
    </row>
    <row r="171" spans="1:4" x14ac:dyDescent="0.45">
      <c r="A171" t="s">
        <v>245</v>
      </c>
      <c r="B171" t="s">
        <v>107</v>
      </c>
      <c r="C171" s="3">
        <v>687.03797999999995</v>
      </c>
      <c r="D171" s="3">
        <v>27.208888057689041</v>
      </c>
    </row>
    <row r="172" spans="1:4" x14ac:dyDescent="0.45">
      <c r="A172" t="s">
        <v>245</v>
      </c>
      <c r="B172" t="s">
        <v>227</v>
      </c>
      <c r="C172" s="3">
        <v>66.633520000000004</v>
      </c>
      <c r="D172" s="3">
        <v>2.6388992156878781</v>
      </c>
    </row>
    <row r="173" spans="1:4" x14ac:dyDescent="0.45">
      <c r="A173" t="s">
        <v>245</v>
      </c>
      <c r="B173" t="s">
        <v>324</v>
      </c>
      <c r="C173" s="3">
        <v>243.58748</v>
      </c>
      <c r="D173" s="3">
        <v>9.6468385569813311</v>
      </c>
    </row>
    <row r="174" spans="1:4" x14ac:dyDescent="0.45">
      <c r="A174" t="s">
        <v>244</v>
      </c>
      <c r="B174" t="s">
        <v>108</v>
      </c>
      <c r="C174" s="3">
        <v>459.68455</v>
      </c>
      <c r="D174" s="3">
        <v>18.204969487711811</v>
      </c>
    </row>
    <row r="175" spans="1:4" x14ac:dyDescent="0.45">
      <c r="A175" t="s">
        <v>248</v>
      </c>
      <c r="B175" t="s">
        <v>325</v>
      </c>
      <c r="C175" s="3">
        <v>32.5045</v>
      </c>
      <c r="D175" s="3">
        <v>1.287281529721477</v>
      </c>
    </row>
    <row r="176" spans="1:4" x14ac:dyDescent="0.45">
      <c r="A176" t="s">
        <v>243</v>
      </c>
      <c r="B176" t="s">
        <v>326</v>
      </c>
      <c r="C176" s="3">
        <v>395.49275</v>
      </c>
      <c r="D176" s="3">
        <v>15.662770146095269</v>
      </c>
    </row>
    <row r="177" spans="1:4" x14ac:dyDescent="0.45">
      <c r="A177" t="s">
        <v>246</v>
      </c>
      <c r="B177" t="s">
        <v>123</v>
      </c>
      <c r="C177" s="3">
        <v>616.9538</v>
      </c>
      <c r="D177" s="3">
        <v>24.43333173657426</v>
      </c>
    </row>
    <row r="178" spans="1:4" x14ac:dyDescent="0.45">
      <c r="A178" t="s">
        <v>251</v>
      </c>
      <c r="B178" t="s">
        <v>124</v>
      </c>
      <c r="C178" s="3">
        <v>1179.0915399999999</v>
      </c>
      <c r="D178" s="3">
        <v>46.695773240408307</v>
      </c>
    </row>
    <row r="179" spans="1:4" x14ac:dyDescent="0.45">
      <c r="A179" t="s">
        <v>248</v>
      </c>
      <c r="B179" t="s">
        <v>125</v>
      </c>
      <c r="C179" s="3">
        <v>1862.69361</v>
      </c>
      <c r="D179" s="3">
        <v>73.768588339559756</v>
      </c>
    </row>
    <row r="180" spans="1:4" x14ac:dyDescent="0.45">
      <c r="A180" t="s">
        <v>245</v>
      </c>
      <c r="B180" t="s">
        <v>126</v>
      </c>
      <c r="C180" s="3">
        <v>1918.6212499999999</v>
      </c>
      <c r="D180" s="3">
        <v>75.983500673941521</v>
      </c>
    </row>
    <row r="181" spans="1:4" x14ac:dyDescent="0.45">
      <c r="A181" t="s">
        <v>251</v>
      </c>
      <c r="B181" t="s">
        <v>127</v>
      </c>
      <c r="C181" s="3">
        <v>3054.7340199999999</v>
      </c>
      <c r="D181" s="3">
        <v>120.9771779955956</v>
      </c>
    </row>
    <row r="182" spans="1:4" x14ac:dyDescent="0.45">
      <c r="A182" t="s">
        <v>246</v>
      </c>
      <c r="B182" t="s">
        <v>128</v>
      </c>
      <c r="C182" s="3">
        <v>1667.22307</v>
      </c>
      <c r="D182" s="3">
        <v>66.027333567245662</v>
      </c>
    </row>
    <row r="183" spans="1:4" x14ac:dyDescent="0.45">
      <c r="A183" t="s">
        <v>251</v>
      </c>
      <c r="B183" t="s">
        <v>129</v>
      </c>
      <c r="C183" s="3">
        <v>1360.17426</v>
      </c>
      <c r="D183" s="3">
        <v>53.867224602765077</v>
      </c>
    </row>
    <row r="184" spans="1:4" x14ac:dyDescent="0.45">
      <c r="A184" t="s">
        <v>246</v>
      </c>
      <c r="B184" t="s">
        <v>130</v>
      </c>
      <c r="C184" s="3">
        <v>1181.5002500000001</v>
      </c>
      <c r="D184" s="3">
        <v>46.791165813542968</v>
      </c>
    </row>
    <row r="185" spans="1:4" x14ac:dyDescent="0.45">
      <c r="A185" t="s">
        <v>251</v>
      </c>
      <c r="B185" t="s">
        <v>133</v>
      </c>
      <c r="C185" s="3">
        <v>1655.18967</v>
      </c>
      <c r="D185" s="3">
        <v>65.550772673838594</v>
      </c>
    </row>
    <row r="186" spans="1:4" x14ac:dyDescent="0.45">
      <c r="A186" t="s">
        <v>251</v>
      </c>
      <c r="B186" t="s">
        <v>134</v>
      </c>
      <c r="C186" s="3">
        <v>2410.09537</v>
      </c>
      <c r="D186" s="3">
        <v>95.44743819065819</v>
      </c>
    </row>
    <row r="187" spans="1:4" x14ac:dyDescent="0.45">
      <c r="A187" t="s">
        <v>244</v>
      </c>
      <c r="B187" t="s">
        <v>135</v>
      </c>
      <c r="C187" s="3">
        <v>690.06241999999997</v>
      </c>
      <c r="D187" s="3">
        <v>27.328665496189888</v>
      </c>
    </row>
    <row r="188" spans="1:4" x14ac:dyDescent="0.45">
      <c r="A188" t="s">
        <v>251</v>
      </c>
      <c r="B188" t="s">
        <v>136</v>
      </c>
      <c r="C188" s="3">
        <v>1580.36456</v>
      </c>
      <c r="D188" s="3">
        <v>62.587460453611307</v>
      </c>
    </row>
    <row r="189" spans="1:4" x14ac:dyDescent="0.45">
      <c r="A189" t="s">
        <v>246</v>
      </c>
      <c r="B189" t="s">
        <v>131</v>
      </c>
      <c r="C189" s="3">
        <v>1292.24126</v>
      </c>
      <c r="D189" s="3">
        <v>51.176861848113603</v>
      </c>
    </row>
    <row r="190" spans="1:4" x14ac:dyDescent="0.45">
      <c r="A190" t="s">
        <v>245</v>
      </c>
      <c r="B190" t="s">
        <v>132</v>
      </c>
      <c r="C190" s="3">
        <v>2253.6870399999998</v>
      </c>
      <c r="D190" s="3">
        <v>89.253171110605209</v>
      </c>
    </row>
    <row r="191" spans="1:4" x14ac:dyDescent="0.45">
      <c r="A191" t="s">
        <v>251</v>
      </c>
      <c r="B191" t="s">
        <v>137</v>
      </c>
      <c r="C191" s="3">
        <v>545.43624</v>
      </c>
      <c r="D191" s="3">
        <v>21.601009010836361</v>
      </c>
    </row>
    <row r="192" spans="1:4" x14ac:dyDescent="0.45">
      <c r="A192" t="s">
        <v>244</v>
      </c>
      <c r="B192" t="s">
        <v>327</v>
      </c>
      <c r="C192" s="3">
        <v>206.4598</v>
      </c>
      <c r="D192" s="3">
        <v>8.1764644024670492</v>
      </c>
    </row>
    <row r="193" spans="1:4" x14ac:dyDescent="0.45">
      <c r="A193" t="s">
        <v>244</v>
      </c>
      <c r="B193" t="s">
        <v>138</v>
      </c>
      <c r="C193" s="3">
        <v>485.31434999999999</v>
      </c>
      <c r="D193" s="3">
        <v>19.219991043202761</v>
      </c>
    </row>
    <row r="194" spans="1:4" x14ac:dyDescent="0.45">
      <c r="A194" t="s">
        <v>249</v>
      </c>
      <c r="B194" t="s">
        <v>139</v>
      </c>
      <c r="C194" s="3">
        <v>759.09401000000003</v>
      </c>
      <c r="D194" s="3">
        <v>30.06253590718854</v>
      </c>
    </row>
    <row r="195" spans="1:4" x14ac:dyDescent="0.45">
      <c r="A195" t="s">
        <v>248</v>
      </c>
      <c r="B195" t="s">
        <v>328</v>
      </c>
      <c r="C195" s="3">
        <v>289.41158999999999</v>
      </c>
      <c r="D195" s="3">
        <v>11.461618984889011</v>
      </c>
    </row>
    <row r="196" spans="1:4" x14ac:dyDescent="0.45">
      <c r="A196" t="s">
        <v>251</v>
      </c>
      <c r="B196" t="s">
        <v>329</v>
      </c>
      <c r="C196" s="3">
        <v>5</v>
      </c>
      <c r="D196" s="3">
        <v>0.19801589467942551</v>
      </c>
    </row>
    <row r="197" spans="1:4" x14ac:dyDescent="0.45">
      <c r="A197" t="s">
        <v>249</v>
      </c>
      <c r="B197" t="s">
        <v>140</v>
      </c>
      <c r="C197" s="3">
        <v>540.65301999999997</v>
      </c>
      <c r="D197" s="3">
        <v>21.411578293286659</v>
      </c>
    </row>
    <row r="198" spans="1:4" x14ac:dyDescent="0.45">
      <c r="A198" t="s">
        <v>248</v>
      </c>
      <c r="B198" t="s">
        <v>141</v>
      </c>
      <c r="C198" s="3">
        <v>571.37495999999999</v>
      </c>
      <c r="D198" s="3">
        <v>22.62826478036418</v>
      </c>
    </row>
    <row r="199" spans="1:4" x14ac:dyDescent="0.45">
      <c r="A199" t="s">
        <v>244</v>
      </c>
      <c r="B199" t="s">
        <v>330</v>
      </c>
      <c r="C199" s="3">
        <v>10.57334</v>
      </c>
      <c r="D199" s="3">
        <v>0.41873787596995132</v>
      </c>
    </row>
    <row r="200" spans="1:4" x14ac:dyDescent="0.45">
      <c r="A200" t="s">
        <v>244</v>
      </c>
      <c r="B200" t="s">
        <v>142</v>
      </c>
      <c r="C200" s="3">
        <v>711.54795000000001</v>
      </c>
      <c r="D200" s="3">
        <v>28.179560785312219</v>
      </c>
    </row>
    <row r="201" spans="1:4" x14ac:dyDescent="0.45">
      <c r="A201" t="s">
        <v>251</v>
      </c>
      <c r="B201" t="s">
        <v>143</v>
      </c>
      <c r="C201" s="3">
        <v>848.54786000000001</v>
      </c>
      <c r="D201" s="3">
        <v>33.605192735242369</v>
      </c>
    </row>
    <row r="202" spans="1:4" x14ac:dyDescent="0.45">
      <c r="A202" t="s">
        <v>244</v>
      </c>
      <c r="B202" t="s">
        <v>144</v>
      </c>
      <c r="C202" s="3">
        <v>628.83198000000004</v>
      </c>
      <c r="D202" s="3">
        <v>24.903745424546909</v>
      </c>
    </row>
    <row r="203" spans="1:4" x14ac:dyDescent="0.45">
      <c r="A203" t="s">
        <v>251</v>
      </c>
      <c r="B203" t="s">
        <v>145</v>
      </c>
      <c r="C203" s="3">
        <v>433.32749999999999</v>
      </c>
      <c r="D203" s="3">
        <v>17.161146520339749</v>
      </c>
    </row>
    <row r="204" spans="1:4" x14ac:dyDescent="0.45">
      <c r="A204" t="s">
        <v>243</v>
      </c>
      <c r="B204" t="s">
        <v>146</v>
      </c>
      <c r="C204" s="3">
        <v>975.88134000000002</v>
      </c>
      <c r="D204" s="3">
        <v>38.648003328211317</v>
      </c>
    </row>
    <row r="205" spans="1:4" x14ac:dyDescent="0.45">
      <c r="A205" t="s">
        <v>243</v>
      </c>
      <c r="B205" t="s">
        <v>331</v>
      </c>
      <c r="C205" s="3">
        <v>3.8123100000000001</v>
      </c>
      <c r="D205" s="3">
        <v>0.15097959508906411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5"/>
  <sheetViews>
    <sheetView topLeftCell="B1" workbookViewId="0">
      <selection activeCell="E11" sqref="E11"/>
    </sheetView>
  </sheetViews>
  <sheetFormatPr defaultRowHeight="14.25" x14ac:dyDescent="0.45"/>
  <cols>
    <col min="1" max="1" width="23.6640625" customWidth="1"/>
    <col min="2" max="2" width="59.33203125" bestFit="1" customWidth="1"/>
    <col min="3" max="3" width="11.73046875" style="3" customWidth="1"/>
    <col min="4" max="4" width="9.06640625" style="3"/>
    <col min="5" max="5" width="21.46484375" style="3" bestFit="1" customWidth="1"/>
    <col min="6" max="6" width="21" style="2" customWidth="1"/>
    <col min="7" max="7" width="27.265625" style="2" customWidth="1"/>
    <col min="8" max="8" width="28.3984375" style="2" customWidth="1"/>
    <col min="9" max="9" width="25.46484375" customWidth="1"/>
  </cols>
  <sheetData>
    <row r="1" spans="1:8" x14ac:dyDescent="0.45">
      <c r="A1" s="12" t="s">
        <v>239</v>
      </c>
      <c r="B1" s="12" t="s">
        <v>332</v>
      </c>
      <c r="C1" s="14" t="s">
        <v>1</v>
      </c>
      <c r="D1" s="14" t="s">
        <v>241</v>
      </c>
      <c r="E1" s="14" t="s">
        <v>242</v>
      </c>
      <c r="F1" s="13" t="s">
        <v>333</v>
      </c>
      <c r="G1" s="13" t="s">
        <v>334</v>
      </c>
      <c r="H1" s="13" t="s">
        <v>335</v>
      </c>
    </row>
    <row r="2" spans="1:8" x14ac:dyDescent="0.45">
      <c r="A2" t="s">
        <v>243</v>
      </c>
      <c r="B2" t="s">
        <v>2</v>
      </c>
      <c r="C2" s="3">
        <v>1410</v>
      </c>
      <c r="D2" s="3">
        <v>372.44763999999998</v>
      </c>
      <c r="E2" s="3">
        <v>14.75011053116811</v>
      </c>
      <c r="F2" s="2">
        <v>95.592504003313223</v>
      </c>
      <c r="G2" s="2">
        <v>7.9660420002761017</v>
      </c>
      <c r="H2" s="2">
        <v>0.37783598420281911</v>
      </c>
    </row>
    <row r="3" spans="1:8" x14ac:dyDescent="0.45">
      <c r="A3" t="s">
        <v>244</v>
      </c>
      <c r="B3" t="s">
        <v>3</v>
      </c>
      <c r="C3" s="3">
        <v>2290</v>
      </c>
      <c r="D3" s="3">
        <v>544.71474999999998</v>
      </c>
      <c r="E3" s="3">
        <v>21.572435713265911</v>
      </c>
      <c r="F3" s="2">
        <v>106.1539842064181</v>
      </c>
      <c r="G3" s="2">
        <v>8.8461653505348448</v>
      </c>
      <c r="H3" s="2">
        <v>0.4195809652427594</v>
      </c>
    </row>
    <row r="4" spans="1:8" x14ac:dyDescent="0.45">
      <c r="A4" t="s">
        <v>245</v>
      </c>
      <c r="B4" t="s">
        <v>5</v>
      </c>
      <c r="C4" s="3">
        <v>4345</v>
      </c>
      <c r="D4" s="3">
        <v>711.56917999999996</v>
      </c>
      <c r="E4" s="3">
        <v>28.18040156080103</v>
      </c>
      <c r="F4" s="2">
        <v>154.18516981120311</v>
      </c>
      <c r="G4" s="2">
        <v>12.84876415093359</v>
      </c>
      <c r="H4" s="2">
        <v>0.60942754866088189</v>
      </c>
    </row>
    <row r="5" spans="1:8" x14ac:dyDescent="0.45">
      <c r="A5" t="s">
        <v>248</v>
      </c>
      <c r="B5" t="s">
        <v>336</v>
      </c>
      <c r="C5" s="3">
        <v>11745</v>
      </c>
      <c r="D5" s="3">
        <v>1333.6523299999999</v>
      </c>
      <c r="E5" s="3">
        <v>52.816871863250071</v>
      </c>
      <c r="F5" s="2">
        <v>222.37212439254961</v>
      </c>
      <c r="G5" s="2">
        <v>18.531010366045798</v>
      </c>
      <c r="H5" s="2">
        <v>0.87894120313260726</v>
      </c>
    </row>
    <row r="6" spans="1:8" x14ac:dyDescent="0.45">
      <c r="A6" t="s">
        <v>243</v>
      </c>
      <c r="B6" t="s">
        <v>7</v>
      </c>
      <c r="C6" s="3">
        <v>2715</v>
      </c>
      <c r="D6" s="3">
        <v>451.05549999999999</v>
      </c>
      <c r="E6" s="3">
        <v>17.86323167651512</v>
      </c>
      <c r="F6" s="2">
        <v>151.98817600117809</v>
      </c>
      <c r="G6" s="2">
        <v>12.665681333431509</v>
      </c>
      <c r="H6" s="2">
        <v>0.6007437786607831</v>
      </c>
    </row>
    <row r="7" spans="1:8" x14ac:dyDescent="0.45">
      <c r="A7" t="s">
        <v>248</v>
      </c>
      <c r="B7" t="s">
        <v>8</v>
      </c>
      <c r="C7" s="3">
        <v>14190</v>
      </c>
      <c r="D7" s="3">
        <v>3075.7504899999999</v>
      </c>
      <c r="E7" s="3">
        <v>121.8094970176062</v>
      </c>
      <c r="F7" s="2">
        <v>116.493379805591</v>
      </c>
      <c r="G7" s="2">
        <v>9.7077816504659129</v>
      </c>
      <c r="H7" s="2">
        <v>0.46044814152407493</v>
      </c>
    </row>
    <row r="8" spans="1:8" x14ac:dyDescent="0.45">
      <c r="A8" t="s">
        <v>249</v>
      </c>
      <c r="B8" t="s">
        <v>9</v>
      </c>
      <c r="C8" s="3">
        <v>11010</v>
      </c>
      <c r="D8" s="3">
        <v>1325.8535400000001</v>
      </c>
      <c r="E8" s="3">
        <v>52.508014987396677</v>
      </c>
      <c r="F8" s="2">
        <v>209.6822742707507</v>
      </c>
      <c r="G8" s="2">
        <v>17.47352285589589</v>
      </c>
      <c r="H8" s="2">
        <v>0.82878369276976571</v>
      </c>
    </row>
    <row r="9" spans="1:8" x14ac:dyDescent="0.45">
      <c r="A9" t="s">
        <v>251</v>
      </c>
      <c r="B9" t="s">
        <v>10</v>
      </c>
      <c r="C9" s="3">
        <v>4145</v>
      </c>
      <c r="D9" s="3">
        <v>712.44858999999997</v>
      </c>
      <c r="E9" s="3">
        <v>28.215228992389029</v>
      </c>
      <c r="F9" s="2">
        <v>146.9064809333322</v>
      </c>
      <c r="G9" s="2">
        <v>12.242206744444349</v>
      </c>
      <c r="H9" s="2">
        <v>0.58065802740447503</v>
      </c>
    </row>
    <row r="10" spans="1:8" x14ac:dyDescent="0.45">
      <c r="A10" t="s">
        <v>244</v>
      </c>
      <c r="B10" t="s">
        <v>11</v>
      </c>
      <c r="C10" s="3">
        <v>4635</v>
      </c>
      <c r="D10" s="3">
        <v>696.56168000000002</v>
      </c>
      <c r="E10" s="3">
        <v>27.586056852920731</v>
      </c>
      <c r="F10" s="2">
        <v>168.0196638726662</v>
      </c>
      <c r="G10" s="2">
        <v>14.00163865605551</v>
      </c>
      <c r="H10" s="2">
        <v>0.66410934337022198</v>
      </c>
    </row>
    <row r="11" spans="1:8" x14ac:dyDescent="0.45">
      <c r="A11" t="s">
        <v>244</v>
      </c>
      <c r="B11" t="s">
        <v>12</v>
      </c>
      <c r="C11" s="3">
        <v>2995</v>
      </c>
      <c r="D11" s="3">
        <v>637.70324000000005</v>
      </c>
      <c r="E11" s="3">
        <v>25.255075521713671</v>
      </c>
      <c r="F11" s="2">
        <v>118.59002351527219</v>
      </c>
      <c r="G11" s="2">
        <v>9.8825019596060191</v>
      </c>
      <c r="H11" s="2">
        <v>0.46873527081135258</v>
      </c>
    </row>
    <row r="12" spans="1:8" x14ac:dyDescent="0.45">
      <c r="A12" t="s">
        <v>243</v>
      </c>
      <c r="B12" t="s">
        <v>13</v>
      </c>
      <c r="C12" s="3">
        <v>4765</v>
      </c>
      <c r="D12" s="3">
        <v>825.62428</v>
      </c>
      <c r="E12" s="3">
        <v>32.697346094651287</v>
      </c>
      <c r="F12" s="2">
        <v>145.73048180137991</v>
      </c>
      <c r="G12" s="2">
        <v>12.14420681678166</v>
      </c>
      <c r="H12" s="2">
        <v>0.57600980949162017</v>
      </c>
    </row>
    <row r="13" spans="1:8" x14ac:dyDescent="0.45">
      <c r="A13" t="s">
        <v>245</v>
      </c>
      <c r="B13" t="s">
        <v>14</v>
      </c>
      <c r="C13" s="3">
        <v>6520</v>
      </c>
      <c r="D13" s="3">
        <v>819.0933</v>
      </c>
      <c r="E13" s="3">
        <v>32.438698525084611</v>
      </c>
      <c r="F13" s="2">
        <v>200.99450028669091</v>
      </c>
      <c r="G13" s="2">
        <v>16.749541690557582</v>
      </c>
      <c r="H13" s="2">
        <v>0.79444466516478629</v>
      </c>
    </row>
    <row r="14" spans="1:8" x14ac:dyDescent="0.45">
      <c r="A14" t="s">
        <v>243</v>
      </c>
      <c r="B14" t="s">
        <v>15</v>
      </c>
      <c r="C14" s="3">
        <v>5060</v>
      </c>
      <c r="D14" s="3">
        <v>745.42840000000001</v>
      </c>
      <c r="E14" s="3">
        <v>29.52133430909052</v>
      </c>
      <c r="F14" s="2">
        <v>171.40146671628841</v>
      </c>
      <c r="G14" s="2">
        <v>14.283455559690699</v>
      </c>
      <c r="H14" s="2">
        <v>0.6774761530288077</v>
      </c>
    </row>
    <row r="15" spans="1:8" x14ac:dyDescent="0.45">
      <c r="A15" t="s">
        <v>249</v>
      </c>
      <c r="B15" t="s">
        <v>16</v>
      </c>
      <c r="C15" s="3">
        <v>11375</v>
      </c>
      <c r="D15" s="3">
        <v>1770.07789</v>
      </c>
      <c r="E15" s="3">
        <v>70.100711408123928</v>
      </c>
      <c r="F15" s="2">
        <v>162.26654154442369</v>
      </c>
      <c r="G15" s="2">
        <v>13.52221179536865</v>
      </c>
      <c r="H15" s="2">
        <v>0.6413697294245998</v>
      </c>
    </row>
    <row r="16" spans="1:8" x14ac:dyDescent="0.45">
      <c r="A16" t="s">
        <v>248</v>
      </c>
      <c r="B16" t="s">
        <v>17</v>
      </c>
      <c r="C16" s="3">
        <v>7015</v>
      </c>
      <c r="D16" s="3">
        <v>1454.2218800000001</v>
      </c>
      <c r="E16" s="3">
        <v>57.591809326119211</v>
      </c>
      <c r="F16" s="2">
        <v>121.8055150911631</v>
      </c>
      <c r="G16" s="2">
        <v>10.150459590930261</v>
      </c>
      <c r="H16" s="2">
        <v>0.48144472368048652</v>
      </c>
    </row>
    <row r="17" spans="1:8" x14ac:dyDescent="0.45">
      <c r="A17" t="s">
        <v>251</v>
      </c>
      <c r="B17" t="s">
        <v>18</v>
      </c>
      <c r="C17" s="3">
        <v>3465</v>
      </c>
      <c r="D17" s="3">
        <v>497.91298999999998</v>
      </c>
      <c r="E17" s="3">
        <v>19.718937237471561</v>
      </c>
      <c r="F17" s="2">
        <v>175.71940912796859</v>
      </c>
      <c r="G17" s="2">
        <v>14.64328409399738</v>
      </c>
      <c r="H17" s="2">
        <v>0.6945431190828798</v>
      </c>
    </row>
    <row r="18" spans="1:8" x14ac:dyDescent="0.45">
      <c r="A18" t="s">
        <v>244</v>
      </c>
      <c r="B18" t="s">
        <v>21</v>
      </c>
      <c r="C18" s="3">
        <v>3440</v>
      </c>
      <c r="D18" s="3">
        <v>550.47871999999995</v>
      </c>
      <c r="E18" s="3">
        <v>21.800707248556989</v>
      </c>
      <c r="F18" s="2">
        <v>157.7930459218334</v>
      </c>
      <c r="G18" s="2">
        <v>13.149420493486121</v>
      </c>
      <c r="H18" s="2">
        <v>0.62368792854479616</v>
      </c>
    </row>
    <row r="19" spans="1:8" x14ac:dyDescent="0.45">
      <c r="A19" t="s">
        <v>243</v>
      </c>
      <c r="B19" t="s">
        <v>22</v>
      </c>
      <c r="C19" s="3">
        <v>7110</v>
      </c>
      <c r="D19" s="3">
        <v>934.56796999999995</v>
      </c>
      <c r="E19" s="3">
        <v>37.011862543656882</v>
      </c>
      <c r="F19" s="2">
        <v>192.10057293424481</v>
      </c>
      <c r="G19" s="2">
        <v>16.008381077853731</v>
      </c>
      <c r="H19" s="2">
        <v>0.75929080211163935</v>
      </c>
    </row>
    <row r="20" spans="1:8" x14ac:dyDescent="0.45">
      <c r="A20" t="s">
        <v>248</v>
      </c>
      <c r="B20" t="s">
        <v>23</v>
      </c>
      <c r="C20" s="3">
        <v>4300</v>
      </c>
      <c r="D20" s="3">
        <v>592.55281000000002</v>
      </c>
      <c r="E20" s="3">
        <v>23.466974963391522</v>
      </c>
      <c r="F20" s="2">
        <v>183.23622907119471</v>
      </c>
      <c r="G20" s="2">
        <v>15.26968575593289</v>
      </c>
      <c r="H20" s="2">
        <v>0.72425386984661944</v>
      </c>
    </row>
    <row r="21" spans="1:8" x14ac:dyDescent="0.45">
      <c r="A21" t="s">
        <v>245</v>
      </c>
      <c r="B21" t="s">
        <v>24</v>
      </c>
      <c r="C21" s="3">
        <v>5825</v>
      </c>
      <c r="D21" s="3">
        <v>616.89374999999995</v>
      </c>
      <c r="E21" s="3">
        <v>24.430953565679161</v>
      </c>
      <c r="F21" s="2">
        <v>238.42704233137329</v>
      </c>
      <c r="G21" s="2">
        <v>19.86892019428111</v>
      </c>
      <c r="H21" s="2">
        <v>0.94239937680384689</v>
      </c>
    </row>
    <row r="22" spans="1:8" x14ac:dyDescent="0.45">
      <c r="A22" t="s">
        <v>243</v>
      </c>
      <c r="B22" t="s">
        <v>25</v>
      </c>
      <c r="C22" s="3">
        <v>4705</v>
      </c>
      <c r="D22" s="3">
        <v>747.48455000000001</v>
      </c>
      <c r="E22" s="3">
        <v>29.60276438545954</v>
      </c>
      <c r="F22" s="2">
        <v>158.93785927340721</v>
      </c>
      <c r="G22" s="2">
        <v>13.24482160611727</v>
      </c>
      <c r="H22" s="2">
        <v>0.62821288250358598</v>
      </c>
    </row>
    <row r="23" spans="1:8" x14ac:dyDescent="0.45">
      <c r="A23" t="s">
        <v>246</v>
      </c>
      <c r="B23" t="s">
        <v>26</v>
      </c>
      <c r="C23" s="3">
        <v>1915</v>
      </c>
      <c r="D23" s="3">
        <v>414.76580000000001</v>
      </c>
      <c r="E23" s="3">
        <v>16.426044193885531</v>
      </c>
      <c r="F23" s="2">
        <v>116.5831515729663</v>
      </c>
      <c r="G23" s="2">
        <v>9.7152626310805257</v>
      </c>
      <c r="H23" s="2">
        <v>0.46080297064413561</v>
      </c>
    </row>
    <row r="24" spans="1:8" x14ac:dyDescent="0.45">
      <c r="A24" t="s">
        <v>244</v>
      </c>
      <c r="B24" t="s">
        <v>27</v>
      </c>
      <c r="C24" s="3">
        <v>2410</v>
      </c>
      <c r="D24" s="3">
        <v>290.99642</v>
      </c>
      <c r="E24" s="3">
        <v>11.524383290961969</v>
      </c>
      <c r="F24" s="2">
        <v>209.12181928989199</v>
      </c>
      <c r="G24" s="2">
        <v>17.426818274157672</v>
      </c>
      <c r="H24" s="2">
        <v>0.8265684556912728</v>
      </c>
    </row>
    <row r="25" spans="1:8" x14ac:dyDescent="0.45">
      <c r="A25" t="s">
        <v>245</v>
      </c>
      <c r="B25" t="s">
        <v>28</v>
      </c>
      <c r="C25" s="3">
        <v>18950</v>
      </c>
      <c r="D25" s="3">
        <v>1297.8041599999999</v>
      </c>
      <c r="E25" s="3">
        <v>51.397170372216053</v>
      </c>
      <c r="F25" s="2">
        <v>368.69734000461369</v>
      </c>
      <c r="G25" s="2">
        <v>30.724778333717811</v>
      </c>
      <c r="H25" s="2">
        <v>1.4573017391486709</v>
      </c>
    </row>
    <row r="26" spans="1:8" x14ac:dyDescent="0.45">
      <c r="A26" t="s">
        <v>244</v>
      </c>
      <c r="B26" t="s">
        <v>29</v>
      </c>
      <c r="C26" s="3">
        <v>6210</v>
      </c>
      <c r="D26" s="3">
        <v>983.59100000000001</v>
      </c>
      <c r="E26" s="3">
        <v>38.95333037272615</v>
      </c>
      <c r="F26" s="2">
        <v>159.42154215260729</v>
      </c>
      <c r="G26" s="2">
        <v>13.28512851271727</v>
      </c>
      <c r="H26" s="2">
        <v>0.63012467253994975</v>
      </c>
    </row>
    <row r="27" spans="1:8" x14ac:dyDescent="0.45">
      <c r="A27" t="s">
        <v>249</v>
      </c>
      <c r="B27" t="s">
        <v>30</v>
      </c>
      <c r="C27" s="3">
        <v>11920</v>
      </c>
      <c r="D27" s="3">
        <v>1321.3894299999999</v>
      </c>
      <c r="E27" s="3">
        <v>52.331222040277197</v>
      </c>
      <c r="F27" s="2">
        <v>227.77989000191249</v>
      </c>
      <c r="G27" s="2">
        <v>18.981657500159379</v>
      </c>
      <c r="H27" s="2">
        <v>0.90031577075854752</v>
      </c>
    </row>
    <row r="28" spans="1:8" x14ac:dyDescent="0.45">
      <c r="A28" t="s">
        <v>245</v>
      </c>
      <c r="B28" t="s">
        <v>31</v>
      </c>
      <c r="C28" s="3">
        <v>8625</v>
      </c>
      <c r="D28" s="3">
        <v>777.90944000000002</v>
      </c>
      <c r="E28" s="3">
        <v>30.807686748234161</v>
      </c>
      <c r="F28" s="2">
        <v>279.96259733763912</v>
      </c>
      <c r="G28" s="2">
        <v>23.330216444803259</v>
      </c>
      <c r="H28" s="2">
        <v>1.10657153097881</v>
      </c>
    </row>
    <row r="29" spans="1:8" x14ac:dyDescent="0.45">
      <c r="A29" t="s">
        <v>249</v>
      </c>
      <c r="B29" t="s">
        <v>32</v>
      </c>
      <c r="C29" s="3">
        <v>4390</v>
      </c>
      <c r="D29" s="3">
        <v>972.75612000000001</v>
      </c>
      <c r="E29" s="3">
        <v>38.524234681337312</v>
      </c>
      <c r="F29" s="2">
        <v>113.9542429930916</v>
      </c>
      <c r="G29" s="2">
        <v>9.4961869160909682</v>
      </c>
      <c r="H29" s="2">
        <v>0.45041202764067828</v>
      </c>
    </row>
    <row r="30" spans="1:8" x14ac:dyDescent="0.45">
      <c r="A30" t="s">
        <v>248</v>
      </c>
      <c r="B30" t="s">
        <v>33</v>
      </c>
      <c r="C30" s="3">
        <v>6115</v>
      </c>
      <c r="D30" s="3">
        <v>872.21285999999998</v>
      </c>
      <c r="E30" s="3">
        <v>34.542401964760089</v>
      </c>
      <c r="F30" s="2">
        <v>177.02880089921021</v>
      </c>
      <c r="G30" s="2">
        <v>14.752400074934179</v>
      </c>
      <c r="H30" s="2">
        <v>0.69971858062928927</v>
      </c>
    </row>
    <row r="31" spans="1:8" x14ac:dyDescent="0.45">
      <c r="A31" t="s">
        <v>245</v>
      </c>
      <c r="B31" t="s">
        <v>34</v>
      </c>
      <c r="C31" s="3">
        <v>8145</v>
      </c>
      <c r="D31" s="3">
        <v>1377.2092600000001</v>
      </c>
      <c r="E31" s="3">
        <v>54.541864755937887</v>
      </c>
      <c r="F31" s="2">
        <v>149.33482814434331</v>
      </c>
      <c r="G31" s="2">
        <v>12.444569012028611</v>
      </c>
      <c r="H31" s="2">
        <v>0.59025623772467706</v>
      </c>
    </row>
    <row r="32" spans="1:8" x14ac:dyDescent="0.45">
      <c r="A32" t="s">
        <v>243</v>
      </c>
      <c r="B32" t="s">
        <v>35</v>
      </c>
      <c r="C32" s="3">
        <v>1645</v>
      </c>
      <c r="D32" s="3">
        <v>501.76159999999999</v>
      </c>
      <c r="E32" s="3">
        <v>19.871354427956</v>
      </c>
      <c r="F32" s="2">
        <v>82.782479974577527</v>
      </c>
      <c r="G32" s="2">
        <v>6.8985399978814614</v>
      </c>
      <c r="H32" s="2">
        <v>0.32720347816038547</v>
      </c>
    </row>
    <row r="33" spans="1:8" x14ac:dyDescent="0.45">
      <c r="A33" t="s">
        <v>251</v>
      </c>
      <c r="B33" t="s">
        <v>36</v>
      </c>
      <c r="C33" s="3">
        <v>3030</v>
      </c>
      <c r="D33" s="3">
        <v>411.81524999999999</v>
      </c>
      <c r="E33" s="3">
        <v>16.309193034276252</v>
      </c>
      <c r="F33" s="2">
        <v>185.7847898195817</v>
      </c>
      <c r="G33" s="2">
        <v>15.48206581829848</v>
      </c>
      <c r="H33" s="2">
        <v>0.73432723248846532</v>
      </c>
    </row>
    <row r="34" spans="1:8" x14ac:dyDescent="0.45">
      <c r="A34" t="s">
        <v>246</v>
      </c>
      <c r="B34" t="s">
        <v>37</v>
      </c>
      <c r="C34" s="3">
        <v>5385</v>
      </c>
      <c r="D34" s="3">
        <v>1043.7823699999999</v>
      </c>
      <c r="E34" s="3">
        <v>41.337099969232213</v>
      </c>
      <c r="F34" s="2">
        <v>130.27038674721089</v>
      </c>
      <c r="G34" s="2">
        <v>10.855865562267571</v>
      </c>
      <c r="H34" s="2">
        <v>0.51490271441585334</v>
      </c>
    </row>
    <row r="35" spans="1:8" x14ac:dyDescent="0.45">
      <c r="A35" t="s">
        <v>248</v>
      </c>
      <c r="B35" t="s">
        <v>38</v>
      </c>
      <c r="C35" s="3">
        <v>3805</v>
      </c>
      <c r="D35" s="3">
        <v>771.30050000000006</v>
      </c>
      <c r="E35" s="3">
        <v>30.545951714837638</v>
      </c>
      <c r="F35" s="2">
        <v>124.5664248906584</v>
      </c>
      <c r="G35" s="2">
        <v>10.380535407554859</v>
      </c>
      <c r="H35" s="2">
        <v>0.49235741063501332</v>
      </c>
    </row>
    <row r="36" spans="1:8" x14ac:dyDescent="0.45">
      <c r="A36" t="s">
        <v>246</v>
      </c>
      <c r="B36" t="s">
        <v>39</v>
      </c>
      <c r="C36" s="3">
        <v>4935</v>
      </c>
      <c r="D36" s="3">
        <v>691.01679999999999</v>
      </c>
      <c r="E36" s="3">
        <v>27.36646197810272</v>
      </c>
      <c r="F36" s="2">
        <v>180.33021601216629</v>
      </c>
      <c r="G36" s="2">
        <v>15.02751800101386</v>
      </c>
      <c r="H36" s="2">
        <v>0.71276765222200122</v>
      </c>
    </row>
    <row r="37" spans="1:8" x14ac:dyDescent="0.45">
      <c r="A37" t="s">
        <v>248</v>
      </c>
      <c r="B37" t="s">
        <v>40</v>
      </c>
      <c r="C37" s="3">
        <v>14035</v>
      </c>
      <c r="D37" s="3">
        <v>3095.28134</v>
      </c>
      <c r="E37" s="3">
        <v>122.58298076492621</v>
      </c>
      <c r="F37" s="2">
        <v>114.4938711101707</v>
      </c>
      <c r="G37" s="2">
        <v>9.541155925847562</v>
      </c>
      <c r="H37" s="2">
        <v>0.45254494509948912</v>
      </c>
    </row>
    <row r="38" spans="1:8" x14ac:dyDescent="0.45">
      <c r="A38" t="s">
        <v>245</v>
      </c>
      <c r="B38" t="s">
        <v>41</v>
      </c>
      <c r="C38" s="3">
        <v>5735</v>
      </c>
      <c r="D38" s="3">
        <v>990.96482000000003</v>
      </c>
      <c r="E38" s="3">
        <v>39.245357085627163</v>
      </c>
      <c r="F38" s="2">
        <v>146.13193574687409</v>
      </c>
      <c r="G38" s="2">
        <v>12.177661312239509</v>
      </c>
      <c r="H38" s="2">
        <v>0.57759658397973956</v>
      </c>
    </row>
    <row r="39" spans="1:8" x14ac:dyDescent="0.45">
      <c r="A39" t="s">
        <v>245</v>
      </c>
      <c r="B39" t="s">
        <v>42</v>
      </c>
      <c r="C39" s="3">
        <v>1715</v>
      </c>
      <c r="D39" s="3">
        <v>394.27483999999998</v>
      </c>
      <c r="E39" s="3">
        <v>15.61453703843746</v>
      </c>
      <c r="F39" s="2">
        <v>109.8335477880822</v>
      </c>
      <c r="G39" s="2">
        <v>9.1527956490068494</v>
      </c>
      <c r="H39" s="2">
        <v>0.43412469481455412</v>
      </c>
    </row>
    <row r="40" spans="1:8" x14ac:dyDescent="0.45">
      <c r="A40" t="s">
        <v>243</v>
      </c>
      <c r="B40" t="s">
        <v>43</v>
      </c>
      <c r="C40" s="3">
        <v>1990</v>
      </c>
      <c r="D40" s="3">
        <v>421.07567</v>
      </c>
      <c r="E40" s="3">
        <v>16.675935104557698</v>
      </c>
      <c r="F40" s="2">
        <v>119.33363781537579</v>
      </c>
      <c r="G40" s="2">
        <v>9.9444698179479865</v>
      </c>
      <c r="H40" s="2">
        <v>0.47167445776828387</v>
      </c>
    </row>
    <row r="41" spans="1:8" x14ac:dyDescent="0.45">
      <c r="A41" t="s">
        <v>248</v>
      </c>
      <c r="B41" t="s">
        <v>45</v>
      </c>
      <c r="C41" s="3">
        <v>55</v>
      </c>
      <c r="D41" s="3">
        <v>566.86720000000003</v>
      </c>
      <c r="E41" s="3">
        <v>22.44974315448416</v>
      </c>
      <c r="F41" s="2">
        <v>2.449916670383562</v>
      </c>
      <c r="G41" s="2">
        <v>0.20415972253196349</v>
      </c>
      <c r="H41" s="2">
        <v>9.6834651003302845E-3</v>
      </c>
    </row>
    <row r="42" spans="1:8" x14ac:dyDescent="0.45">
      <c r="A42" t="s">
        <v>243</v>
      </c>
      <c r="B42" t="s">
        <v>46</v>
      </c>
      <c r="C42" s="3">
        <v>11500</v>
      </c>
      <c r="D42" s="3">
        <v>1317.2668200000001</v>
      </c>
      <c r="E42" s="3">
        <v>52.167953578764333</v>
      </c>
      <c r="F42" s="2">
        <v>220.44184621190951</v>
      </c>
      <c r="G42" s="2">
        <v>18.370153850992459</v>
      </c>
      <c r="H42" s="2">
        <v>0.87131164510636161</v>
      </c>
    </row>
    <row r="43" spans="1:8" x14ac:dyDescent="0.45">
      <c r="A43" t="s">
        <v>248</v>
      </c>
      <c r="B43" t="s">
        <v>47</v>
      </c>
      <c r="C43" s="3">
        <v>24625</v>
      </c>
      <c r="D43" s="3">
        <v>2225.0305699999999</v>
      </c>
      <c r="E43" s="3">
        <v>88.118283801524385</v>
      </c>
      <c r="F43" s="2">
        <v>279.4539219064319</v>
      </c>
      <c r="G43" s="2">
        <v>23.287826825535991</v>
      </c>
      <c r="H43" s="2">
        <v>1.104560956151905</v>
      </c>
    </row>
    <row r="44" spans="1:8" x14ac:dyDescent="0.45">
      <c r="A44" t="s">
        <v>245</v>
      </c>
      <c r="B44" t="s">
        <v>49</v>
      </c>
      <c r="C44" s="3">
        <v>2425</v>
      </c>
      <c r="D44" s="3">
        <v>266.88056</v>
      </c>
      <c r="E44" s="3">
        <v>10.56931857218922</v>
      </c>
      <c r="F44" s="2">
        <v>229.43768639738431</v>
      </c>
      <c r="G44" s="2">
        <v>19.119807199782031</v>
      </c>
      <c r="H44" s="2">
        <v>0.90686832568136089</v>
      </c>
    </row>
    <row r="45" spans="1:8" x14ac:dyDescent="0.45">
      <c r="A45" t="s">
        <v>249</v>
      </c>
      <c r="B45" t="s">
        <v>50</v>
      </c>
      <c r="C45" s="3">
        <v>3685</v>
      </c>
      <c r="D45" s="3">
        <v>436.62135000000001</v>
      </c>
      <c r="E45" s="3">
        <v>17.291593451277709</v>
      </c>
      <c r="F45" s="2">
        <v>213.1093360703382</v>
      </c>
      <c r="G45" s="2">
        <v>17.759111339194849</v>
      </c>
      <c r="H45" s="2">
        <v>0.84232939158236431</v>
      </c>
    </row>
    <row r="46" spans="1:8" x14ac:dyDescent="0.45">
      <c r="A46" t="s">
        <v>251</v>
      </c>
      <c r="B46" t="s">
        <v>51</v>
      </c>
      <c r="C46" s="3">
        <v>3635</v>
      </c>
      <c r="D46" s="3">
        <v>593.78575000000001</v>
      </c>
      <c r="E46" s="3">
        <v>23.51580330682873</v>
      </c>
      <c r="F46" s="2">
        <v>154.57690101296421</v>
      </c>
      <c r="G46" s="2">
        <v>12.881408417747011</v>
      </c>
      <c r="H46" s="2">
        <v>0.61097589333187419</v>
      </c>
    </row>
    <row r="47" spans="1:8" x14ac:dyDescent="0.45">
      <c r="A47" t="s">
        <v>248</v>
      </c>
      <c r="B47" t="s">
        <v>52</v>
      </c>
      <c r="C47" s="3">
        <v>18320</v>
      </c>
      <c r="D47" s="3">
        <v>2481.4714199999999</v>
      </c>
      <c r="E47" s="3">
        <v>98.274156670544855</v>
      </c>
      <c r="F47" s="2">
        <v>186.4172700195854</v>
      </c>
      <c r="G47" s="2">
        <v>15.534772501632119</v>
      </c>
      <c r="H47" s="2">
        <v>0.73682715422761025</v>
      </c>
    </row>
    <row r="48" spans="1:8" x14ac:dyDescent="0.45">
      <c r="A48" t="s">
        <v>248</v>
      </c>
      <c r="B48" t="s">
        <v>53</v>
      </c>
      <c r="C48" s="3">
        <v>5600</v>
      </c>
      <c r="D48" s="3">
        <v>644.64517999999998</v>
      </c>
      <c r="E48" s="3">
        <v>25.52999841369585</v>
      </c>
      <c r="F48" s="2">
        <v>219.349798196455</v>
      </c>
      <c r="G48" s="2">
        <v>18.279149849704581</v>
      </c>
      <c r="H48" s="2">
        <v>0.86699524978835951</v>
      </c>
    </row>
    <row r="49" spans="1:8" x14ac:dyDescent="0.45">
      <c r="A49" t="s">
        <v>244</v>
      </c>
      <c r="B49" t="s">
        <v>54</v>
      </c>
      <c r="C49" s="3">
        <v>13420</v>
      </c>
      <c r="D49" s="3">
        <v>1094.04384</v>
      </c>
      <c r="E49" s="3">
        <v>43.327613959222838</v>
      </c>
      <c r="F49" s="2">
        <v>309.73318799946009</v>
      </c>
      <c r="G49" s="2">
        <v>25.811098999955011</v>
      </c>
      <c r="H49" s="2">
        <v>1.2242418498002381</v>
      </c>
    </row>
    <row r="50" spans="1:8" x14ac:dyDescent="0.45">
      <c r="A50" t="s">
        <v>243</v>
      </c>
      <c r="B50" t="s">
        <v>55</v>
      </c>
      <c r="C50" s="3">
        <v>17315</v>
      </c>
      <c r="D50" s="3">
        <v>2545.86141</v>
      </c>
      <c r="E50" s="3">
        <v>100.8242049661947</v>
      </c>
      <c r="F50" s="2">
        <v>171.73455526681849</v>
      </c>
      <c r="G50" s="2">
        <v>14.311212938901541</v>
      </c>
      <c r="H50" s="2">
        <v>0.67879270856449991</v>
      </c>
    </row>
    <row r="51" spans="1:8" x14ac:dyDescent="0.45">
      <c r="A51" t="s">
        <v>248</v>
      </c>
      <c r="B51" t="s">
        <v>56</v>
      </c>
      <c r="C51" s="3">
        <v>5705</v>
      </c>
      <c r="D51" s="3">
        <v>1046.1111800000001</v>
      </c>
      <c r="E51" s="3">
        <v>41.429328248369899</v>
      </c>
      <c r="F51" s="2">
        <v>137.70438095926579</v>
      </c>
      <c r="G51" s="2">
        <v>11.47536507993882</v>
      </c>
      <c r="H51" s="2">
        <v>0.54428609074808609</v>
      </c>
    </row>
    <row r="52" spans="1:8" x14ac:dyDescent="0.45">
      <c r="A52" t="s">
        <v>244</v>
      </c>
      <c r="B52" t="s">
        <v>57</v>
      </c>
      <c r="C52" s="3">
        <v>250</v>
      </c>
      <c r="D52" s="3">
        <v>192.47499999999999</v>
      </c>
      <c r="E52" s="3">
        <v>7.6226218656844829</v>
      </c>
      <c r="F52" s="2">
        <v>32.797114222004097</v>
      </c>
      <c r="G52" s="2">
        <v>2.7330928518336748</v>
      </c>
      <c r="H52" s="2">
        <v>0.12963286253756559</v>
      </c>
    </row>
    <row r="53" spans="1:8" x14ac:dyDescent="0.45">
      <c r="A53" t="s">
        <v>244</v>
      </c>
      <c r="B53" t="s">
        <v>58</v>
      </c>
      <c r="C53" s="3">
        <v>5580</v>
      </c>
      <c r="D53" s="3">
        <v>1778.24964</v>
      </c>
      <c r="E53" s="3">
        <v>70.424338685593241</v>
      </c>
      <c r="F53" s="2">
        <v>79.233970870663001</v>
      </c>
      <c r="G53" s="2">
        <v>6.6028309058885837</v>
      </c>
      <c r="H53" s="2">
        <v>0.31317775047692892</v>
      </c>
    </row>
    <row r="54" spans="1:8" x14ac:dyDescent="0.45">
      <c r="A54" t="s">
        <v>248</v>
      </c>
      <c r="B54" t="s">
        <v>59</v>
      </c>
      <c r="C54" s="3">
        <v>10160</v>
      </c>
      <c r="D54" s="3">
        <v>1581.18742</v>
      </c>
      <c r="E54" s="3">
        <v>62.620048325430481</v>
      </c>
      <c r="F54" s="2">
        <v>162.2483577016651</v>
      </c>
      <c r="G54" s="2">
        <v>13.520696475138759</v>
      </c>
      <c r="H54" s="2">
        <v>0.6412978565283205</v>
      </c>
    </row>
    <row r="55" spans="1:8" x14ac:dyDescent="0.45">
      <c r="A55" t="s">
        <v>245</v>
      </c>
      <c r="B55" t="s">
        <v>60</v>
      </c>
      <c r="C55" s="3">
        <v>11935</v>
      </c>
      <c r="D55" s="3">
        <v>1044.5367200000001</v>
      </c>
      <c r="E55" s="3">
        <v>41.366974627262508</v>
      </c>
      <c r="F55" s="2">
        <v>288.51517684192339</v>
      </c>
      <c r="G55" s="2">
        <v>24.042931403493611</v>
      </c>
      <c r="H55" s="2">
        <v>1.140376193051081</v>
      </c>
    </row>
    <row r="56" spans="1:8" x14ac:dyDescent="0.45">
      <c r="A56" t="s">
        <v>244</v>
      </c>
      <c r="B56" t="s">
        <v>61</v>
      </c>
      <c r="C56" s="3">
        <v>12355</v>
      </c>
      <c r="D56" s="3">
        <v>3605.2630899999999</v>
      </c>
      <c r="E56" s="3">
        <v>142.77987926421201</v>
      </c>
      <c r="F56" s="2">
        <v>86.531800304560136</v>
      </c>
      <c r="G56" s="2">
        <v>7.2109833587133449</v>
      </c>
      <c r="H56" s="2">
        <v>0.34202292610498081</v>
      </c>
    </row>
    <row r="57" spans="1:8" x14ac:dyDescent="0.45">
      <c r="A57" t="s">
        <v>245</v>
      </c>
      <c r="B57" t="s">
        <v>62</v>
      </c>
      <c r="C57" s="3">
        <v>5060</v>
      </c>
      <c r="D57" s="3">
        <v>753.37289999999996</v>
      </c>
      <c r="E57" s="3">
        <v>29.83596176414666</v>
      </c>
      <c r="F57" s="2">
        <v>169.5939966674884</v>
      </c>
      <c r="G57" s="2">
        <v>14.13283305562403</v>
      </c>
      <c r="H57" s="2">
        <v>0.67033200263829407</v>
      </c>
    </row>
    <row r="58" spans="1:8" x14ac:dyDescent="0.45">
      <c r="A58" t="s">
        <v>244</v>
      </c>
      <c r="B58" t="s">
        <v>63</v>
      </c>
      <c r="C58" s="3">
        <v>5855</v>
      </c>
      <c r="D58" s="3">
        <v>1286.90201</v>
      </c>
      <c r="E58" s="3">
        <v>50.965410574980183</v>
      </c>
      <c r="F58" s="2">
        <v>114.8818371900711</v>
      </c>
      <c r="G58" s="2">
        <v>9.5734864325059235</v>
      </c>
      <c r="H58" s="2">
        <v>0.4540784078658936</v>
      </c>
    </row>
    <row r="59" spans="1:8" x14ac:dyDescent="0.45">
      <c r="A59" t="s">
        <v>244</v>
      </c>
      <c r="B59" t="s">
        <v>64</v>
      </c>
      <c r="C59" s="3">
        <v>4515</v>
      </c>
      <c r="D59" s="3">
        <v>475.40388000000002</v>
      </c>
      <c r="E59" s="3">
        <v>18.82750492645404</v>
      </c>
      <c r="F59" s="2">
        <v>239.80872758429561</v>
      </c>
      <c r="G59" s="2">
        <v>19.984060632024629</v>
      </c>
      <c r="H59" s="2">
        <v>0.94786058333713674</v>
      </c>
    </row>
    <row r="60" spans="1:8" x14ac:dyDescent="0.45">
      <c r="A60" t="s">
        <v>243</v>
      </c>
      <c r="B60" t="s">
        <v>65</v>
      </c>
      <c r="C60" s="3">
        <v>8100</v>
      </c>
      <c r="D60" s="3">
        <v>1017.56548</v>
      </c>
      <c r="E60" s="3">
        <v>40.298827783419803</v>
      </c>
      <c r="F60" s="2">
        <v>200.99840232406439</v>
      </c>
      <c r="G60" s="2">
        <v>16.749866860338699</v>
      </c>
      <c r="H60" s="2">
        <v>0.79446008823740888</v>
      </c>
    </row>
    <row r="61" spans="1:8" x14ac:dyDescent="0.45">
      <c r="A61" t="s">
        <v>249</v>
      </c>
      <c r="B61" t="s">
        <v>66</v>
      </c>
      <c r="C61" s="3">
        <v>16060</v>
      </c>
      <c r="D61" s="3">
        <v>2208.77549</v>
      </c>
      <c r="E61" s="3">
        <v>87.474530959667263</v>
      </c>
      <c r="F61" s="2">
        <v>183.59629738860721</v>
      </c>
      <c r="G61" s="2">
        <v>15.2996914490506</v>
      </c>
      <c r="H61" s="2">
        <v>0.72567706477710359</v>
      </c>
    </row>
    <row r="62" spans="1:8" x14ac:dyDescent="0.45">
      <c r="A62" t="s">
        <v>249</v>
      </c>
      <c r="B62" t="s">
        <v>67</v>
      </c>
      <c r="C62" s="3">
        <v>6655</v>
      </c>
      <c r="D62" s="3">
        <v>531.08074999999997</v>
      </c>
      <c r="E62" s="3">
        <v>21.032485971654051</v>
      </c>
      <c r="F62" s="2">
        <v>316.41528295652222</v>
      </c>
      <c r="G62" s="2">
        <v>26.36794024637685</v>
      </c>
      <c r="H62" s="2">
        <v>1.2506532923182689</v>
      </c>
    </row>
    <row r="63" spans="1:8" x14ac:dyDescent="0.45">
      <c r="A63" t="s">
        <v>248</v>
      </c>
      <c r="B63" t="s">
        <v>68</v>
      </c>
      <c r="C63" s="3">
        <v>1845</v>
      </c>
      <c r="D63" s="3">
        <v>339.92012999999997</v>
      </c>
      <c r="E63" s="3">
        <v>13.46191773229932</v>
      </c>
      <c r="F63" s="2">
        <v>137.05328146325479</v>
      </c>
      <c r="G63" s="2">
        <v>11.42110678860457</v>
      </c>
      <c r="H63" s="2">
        <v>0.5417125749535765</v>
      </c>
    </row>
    <row r="64" spans="1:8" x14ac:dyDescent="0.45">
      <c r="A64" t="s">
        <v>249</v>
      </c>
      <c r="B64" t="s">
        <v>69</v>
      </c>
      <c r="C64" s="3">
        <v>7780</v>
      </c>
      <c r="D64" s="3">
        <v>1277.21739</v>
      </c>
      <c r="E64" s="3">
        <v>50.581868836194133</v>
      </c>
      <c r="F64" s="2">
        <v>153.8100544524163</v>
      </c>
      <c r="G64" s="2">
        <v>12.81750453770136</v>
      </c>
      <c r="H64" s="2">
        <v>0.60794487925856255</v>
      </c>
    </row>
    <row r="65" spans="1:8" x14ac:dyDescent="0.45">
      <c r="A65" t="s">
        <v>246</v>
      </c>
      <c r="B65" t="s">
        <v>70</v>
      </c>
      <c r="C65" s="3">
        <v>10825</v>
      </c>
      <c r="D65" s="3">
        <v>1244.57377</v>
      </c>
      <c r="E65" s="3">
        <v>49.289077712219097</v>
      </c>
      <c r="F65" s="2">
        <v>219.62269335213</v>
      </c>
      <c r="G65" s="2">
        <v>18.301891112677499</v>
      </c>
      <c r="H65" s="2">
        <v>0.86807388676731223</v>
      </c>
    </row>
    <row r="66" spans="1:8" x14ac:dyDescent="0.45">
      <c r="A66" t="s">
        <v>243</v>
      </c>
      <c r="B66" t="s">
        <v>72</v>
      </c>
      <c r="C66" s="3">
        <v>3495</v>
      </c>
      <c r="D66" s="3">
        <v>553.57685000000004</v>
      </c>
      <c r="E66" s="3">
        <v>21.92340304531362</v>
      </c>
      <c r="F66" s="2">
        <v>159.41868115894971</v>
      </c>
      <c r="G66" s="2">
        <v>13.284890096579151</v>
      </c>
      <c r="H66" s="2">
        <v>0.6301133642646235</v>
      </c>
    </row>
    <row r="67" spans="1:8" x14ac:dyDescent="0.45">
      <c r="A67" t="s">
        <v>249</v>
      </c>
      <c r="B67" t="s">
        <v>73</v>
      </c>
      <c r="C67" s="3">
        <v>7560</v>
      </c>
      <c r="D67" s="3">
        <v>1054.6564499999999</v>
      </c>
      <c r="E67" s="3">
        <v>41.767748105235341</v>
      </c>
      <c r="F67" s="2">
        <v>181.00090004738371</v>
      </c>
      <c r="G67" s="2">
        <v>15.08340833728197</v>
      </c>
      <c r="H67" s="2">
        <v>0.715418577262386</v>
      </c>
    </row>
    <row r="68" spans="1:8" x14ac:dyDescent="0.45">
      <c r="A68" t="s">
        <v>251</v>
      </c>
      <c r="B68" t="s">
        <v>74</v>
      </c>
      <c r="C68" s="3">
        <v>6170</v>
      </c>
      <c r="D68" s="3">
        <v>804.03075000000001</v>
      </c>
      <c r="E68" s="3">
        <v>31.842173662203891</v>
      </c>
      <c r="F68" s="2">
        <v>193.7681788138629</v>
      </c>
      <c r="G68" s="2">
        <v>16.147348234488579</v>
      </c>
      <c r="H68" s="2">
        <v>0.765882129699063</v>
      </c>
    </row>
    <row r="69" spans="1:8" x14ac:dyDescent="0.45">
      <c r="A69" t="s">
        <v>244</v>
      </c>
      <c r="B69" t="s">
        <v>75</v>
      </c>
      <c r="C69" s="3">
        <v>27325</v>
      </c>
      <c r="D69" s="3">
        <v>2087.01316</v>
      </c>
      <c r="E69" s="3">
        <v>82.65235561702697</v>
      </c>
      <c r="F69" s="2">
        <v>330.60158777097041</v>
      </c>
      <c r="G69" s="2">
        <v>27.550132314247531</v>
      </c>
      <c r="H69" s="2">
        <v>1.306725643363519</v>
      </c>
    </row>
    <row r="70" spans="1:8" x14ac:dyDescent="0.45">
      <c r="A70" t="s">
        <v>243</v>
      </c>
      <c r="B70" t="s">
        <v>76</v>
      </c>
      <c r="C70" s="3">
        <v>8890</v>
      </c>
      <c r="D70" s="3">
        <v>684.19785000000002</v>
      </c>
      <c r="E70" s="3">
        <v>27.09640988109787</v>
      </c>
      <c r="F70" s="2">
        <v>328.08774442851768</v>
      </c>
      <c r="G70" s="2">
        <v>27.340645369043141</v>
      </c>
      <c r="H70" s="2">
        <v>1.296789503670031</v>
      </c>
    </row>
    <row r="71" spans="1:8" x14ac:dyDescent="0.45">
      <c r="A71" t="s">
        <v>243</v>
      </c>
      <c r="B71" t="s">
        <v>77</v>
      </c>
      <c r="C71" s="3">
        <v>4700</v>
      </c>
      <c r="D71" s="3">
        <v>806.04100000000005</v>
      </c>
      <c r="E71" s="3">
        <v>31.921785952659761</v>
      </c>
      <c r="F71" s="2">
        <v>147.23486984625899</v>
      </c>
      <c r="G71" s="2">
        <v>12.269572487188251</v>
      </c>
      <c r="H71" s="2">
        <v>0.58195600729746655</v>
      </c>
    </row>
    <row r="72" spans="1:8" x14ac:dyDescent="0.45">
      <c r="A72" t="s">
        <v>251</v>
      </c>
      <c r="B72" t="s">
        <v>78</v>
      </c>
      <c r="C72" s="3">
        <v>17670</v>
      </c>
      <c r="D72" s="3">
        <v>2319.4453400000002</v>
      </c>
      <c r="E72" s="3">
        <v>91.857408832024831</v>
      </c>
      <c r="F72" s="2">
        <v>192.36336213568001</v>
      </c>
      <c r="G72" s="2">
        <v>16.030280177973331</v>
      </c>
      <c r="H72" s="2">
        <v>0.76032949460743071</v>
      </c>
    </row>
    <row r="73" spans="1:8" x14ac:dyDescent="0.45">
      <c r="A73" t="s">
        <v>245</v>
      </c>
      <c r="B73" t="s">
        <v>80</v>
      </c>
      <c r="C73" s="3">
        <v>13260</v>
      </c>
      <c r="D73" s="3">
        <v>2179.13085</v>
      </c>
      <c r="E73" s="3">
        <v>86.30050897725738</v>
      </c>
      <c r="F73" s="2">
        <v>153.64915175059261</v>
      </c>
      <c r="G73" s="2">
        <v>12.804095979216051</v>
      </c>
      <c r="H73" s="2">
        <v>0.60730890019997075</v>
      </c>
    </row>
    <row r="74" spans="1:8" x14ac:dyDescent="0.45">
      <c r="A74" t="s">
        <v>245</v>
      </c>
      <c r="B74" t="s">
        <v>82</v>
      </c>
      <c r="C74" s="3">
        <v>6715</v>
      </c>
      <c r="D74" s="3">
        <v>1208.1735000000001</v>
      </c>
      <c r="E74" s="3">
        <v>47.847511306094567</v>
      </c>
      <c r="F74" s="2">
        <v>140.3416774812419</v>
      </c>
      <c r="G74" s="2">
        <v>11.695139790103489</v>
      </c>
      <c r="H74" s="2">
        <v>0.55471018767289304</v>
      </c>
    </row>
    <row r="75" spans="1:8" x14ac:dyDescent="0.45">
      <c r="A75" t="s">
        <v>245</v>
      </c>
      <c r="B75" t="s">
        <v>84</v>
      </c>
      <c r="C75" s="3">
        <v>350</v>
      </c>
      <c r="D75" s="3">
        <v>168.42346000000001</v>
      </c>
      <c r="E75" s="3">
        <v>6.6701044233808853</v>
      </c>
      <c r="F75" s="2">
        <v>52.472941618895227</v>
      </c>
      <c r="G75" s="2">
        <v>4.3727451349079356</v>
      </c>
      <c r="H75" s="2">
        <v>0.20740293129998111</v>
      </c>
    </row>
    <row r="76" spans="1:8" x14ac:dyDescent="0.45">
      <c r="A76" t="s">
        <v>245</v>
      </c>
      <c r="B76" t="s">
        <v>86</v>
      </c>
      <c r="C76" s="3">
        <v>6115</v>
      </c>
      <c r="D76" s="3">
        <v>865.56500000000005</v>
      </c>
      <c r="E76" s="3">
        <v>34.279125575639377</v>
      </c>
      <c r="F76" s="2">
        <v>178.38844770140969</v>
      </c>
      <c r="G76" s="2">
        <v>14.865703975117469</v>
      </c>
      <c r="H76" s="2">
        <v>0.70509267866169834</v>
      </c>
    </row>
    <row r="77" spans="1:8" x14ac:dyDescent="0.45">
      <c r="A77" t="s">
        <v>246</v>
      </c>
      <c r="B77" t="s">
        <v>87</v>
      </c>
      <c r="C77" s="3">
        <v>8460</v>
      </c>
      <c r="D77" s="3">
        <v>913.22636999999997</v>
      </c>
      <c r="E77" s="3">
        <v>36.166667340078803</v>
      </c>
      <c r="F77" s="2">
        <v>233.91704633578129</v>
      </c>
      <c r="G77" s="2">
        <v>19.493087194648439</v>
      </c>
      <c r="H77" s="2">
        <v>0.92457330567502471</v>
      </c>
    </row>
    <row r="78" spans="1:8" x14ac:dyDescent="0.45">
      <c r="A78" t="s">
        <v>246</v>
      </c>
      <c r="B78" t="s">
        <v>88</v>
      </c>
      <c r="C78" s="3">
        <v>7495</v>
      </c>
      <c r="D78" s="3">
        <v>1357.5121200000001</v>
      </c>
      <c r="E78" s="3">
        <v>53.761795395992714</v>
      </c>
      <c r="F78" s="2">
        <v>139.41126677028089</v>
      </c>
      <c r="G78" s="2">
        <v>11.617605564190081</v>
      </c>
      <c r="H78" s="2">
        <v>0.55103267498134745</v>
      </c>
    </row>
    <row r="79" spans="1:8" x14ac:dyDescent="0.45">
      <c r="A79" t="s">
        <v>248</v>
      </c>
      <c r="B79" t="s">
        <v>89</v>
      </c>
      <c r="C79" s="3">
        <v>12925</v>
      </c>
      <c r="D79" s="3">
        <v>2554.7736599999998</v>
      </c>
      <c r="E79" s="3">
        <v>101.17715839766601</v>
      </c>
      <c r="F79" s="2">
        <v>127.7462245895429</v>
      </c>
      <c r="G79" s="2">
        <v>10.645518715795239</v>
      </c>
      <c r="H79" s="2">
        <v>0.50492578889147399</v>
      </c>
    </row>
    <row r="80" spans="1:8" x14ac:dyDescent="0.45">
      <c r="A80" t="s">
        <v>248</v>
      </c>
      <c r="B80" t="s">
        <v>90</v>
      </c>
      <c r="C80" s="3">
        <v>220</v>
      </c>
      <c r="D80" s="3">
        <v>234.98124999999999</v>
      </c>
      <c r="E80" s="3">
        <v>9.3060044903279469</v>
      </c>
      <c r="F80" s="2">
        <v>23.640650531455641</v>
      </c>
      <c r="G80" s="2">
        <v>1.9700542109546371</v>
      </c>
      <c r="H80" s="2">
        <v>9.3441306448441286E-2</v>
      </c>
    </row>
    <row r="81" spans="1:8" x14ac:dyDescent="0.45">
      <c r="A81" t="s">
        <v>249</v>
      </c>
      <c r="B81" t="s">
        <v>91</v>
      </c>
      <c r="C81" s="3">
        <v>35</v>
      </c>
      <c r="D81" s="3">
        <v>264.33445</v>
      </c>
      <c r="E81" s="3">
        <v>10.468484522268771</v>
      </c>
      <c r="F81" s="2">
        <v>3.3433683667915162</v>
      </c>
      <c r="G81" s="2">
        <v>0.27861403056595963</v>
      </c>
      <c r="H81" s="2">
        <v>1.3214894730401249E-2</v>
      </c>
    </row>
    <row r="82" spans="1:8" x14ac:dyDescent="0.45">
      <c r="A82" t="s">
        <v>245</v>
      </c>
      <c r="B82" t="s">
        <v>92</v>
      </c>
      <c r="C82" s="3">
        <v>3920</v>
      </c>
      <c r="D82" s="3">
        <v>753.88572999999997</v>
      </c>
      <c r="E82" s="3">
        <v>29.85627146240035</v>
      </c>
      <c r="F82" s="2">
        <v>131.29569795534161</v>
      </c>
      <c r="G82" s="2">
        <v>10.941308162945131</v>
      </c>
      <c r="H82" s="2">
        <v>0.51895532788672549</v>
      </c>
    </row>
    <row r="83" spans="1:8" x14ac:dyDescent="0.45">
      <c r="A83" t="s">
        <v>246</v>
      </c>
      <c r="B83" t="s">
        <v>93</v>
      </c>
      <c r="C83" s="3">
        <v>5370</v>
      </c>
      <c r="D83" s="3">
        <v>745.28441999999995</v>
      </c>
      <c r="E83" s="3">
        <v>29.515632243387341</v>
      </c>
      <c r="F83" s="2">
        <v>181.9374884372701</v>
      </c>
      <c r="G83" s="2">
        <v>15.16145736977251</v>
      </c>
      <c r="H83" s="2">
        <v>0.71912050765719393</v>
      </c>
    </row>
    <row r="84" spans="1:8" x14ac:dyDescent="0.45">
      <c r="A84" t="s">
        <v>246</v>
      </c>
      <c r="B84" t="s">
        <v>94</v>
      </c>
      <c r="C84" s="3">
        <v>2875</v>
      </c>
      <c r="D84" s="3">
        <v>490.6891</v>
      </c>
      <c r="E84" s="3">
        <v>19.432848229188409</v>
      </c>
      <c r="F84" s="2">
        <v>147.94537404361091</v>
      </c>
      <c r="G84" s="2">
        <v>12.32878117030091</v>
      </c>
      <c r="H84" s="2">
        <v>0.58476432428304681</v>
      </c>
    </row>
    <row r="85" spans="1:8" x14ac:dyDescent="0.45">
      <c r="A85" t="s">
        <v>251</v>
      </c>
      <c r="B85" t="s">
        <v>95</v>
      </c>
      <c r="C85" s="3">
        <v>7625</v>
      </c>
      <c r="D85" s="3">
        <v>894.79340999999999</v>
      </c>
      <c r="E85" s="3">
        <v>35.436663526880793</v>
      </c>
      <c r="F85" s="2">
        <v>215.17262747425389</v>
      </c>
      <c r="G85" s="2">
        <v>17.931052289521151</v>
      </c>
      <c r="H85" s="2">
        <v>0.85048469357412593</v>
      </c>
    </row>
    <row r="86" spans="1:8" x14ac:dyDescent="0.45">
      <c r="A86" t="s">
        <v>243</v>
      </c>
      <c r="B86" t="s">
        <v>96</v>
      </c>
      <c r="C86" s="3">
        <v>1770</v>
      </c>
      <c r="D86" s="3">
        <v>389.93299999999999</v>
      </c>
      <c r="E86" s="3">
        <v>15.442586372006479</v>
      </c>
      <c r="F86" s="2">
        <v>114.6181058898634</v>
      </c>
      <c r="G86" s="2">
        <v>9.5515088241552828</v>
      </c>
      <c r="H86" s="2">
        <v>0.45303599165953912</v>
      </c>
    </row>
    <row r="87" spans="1:8" x14ac:dyDescent="0.45">
      <c r="A87" t="s">
        <v>243</v>
      </c>
      <c r="B87" t="s">
        <v>97</v>
      </c>
      <c r="C87" s="3">
        <v>16860</v>
      </c>
      <c r="D87" s="3">
        <v>1789.3533</v>
      </c>
      <c r="E87" s="3">
        <v>70.864078919416471</v>
      </c>
      <c r="F87" s="2">
        <v>237.92025885459481</v>
      </c>
      <c r="G87" s="2">
        <v>19.826688237882902</v>
      </c>
      <c r="H87" s="2">
        <v>0.94039628005768683</v>
      </c>
    </row>
    <row r="88" spans="1:8" x14ac:dyDescent="0.45">
      <c r="A88" t="s">
        <v>251</v>
      </c>
      <c r="B88" t="s">
        <v>98</v>
      </c>
      <c r="C88" s="3">
        <v>5395</v>
      </c>
      <c r="D88" s="3">
        <v>714.51364000000001</v>
      </c>
      <c r="E88" s="3">
        <v>28.297011537050579</v>
      </c>
      <c r="F88" s="2">
        <v>190.6561755800989</v>
      </c>
      <c r="G88" s="2">
        <v>15.88801463167491</v>
      </c>
      <c r="H88" s="2">
        <v>0.75358172166046999</v>
      </c>
    </row>
    <row r="89" spans="1:8" x14ac:dyDescent="0.45">
      <c r="A89" t="s">
        <v>246</v>
      </c>
      <c r="B89" t="s">
        <v>99</v>
      </c>
      <c r="C89" s="3">
        <v>6480</v>
      </c>
      <c r="D89" s="3">
        <v>1188.7940799999999</v>
      </c>
      <c r="E89" s="3">
        <v>47.080024668160888</v>
      </c>
      <c r="F89" s="2">
        <v>137.6379907545433</v>
      </c>
      <c r="G89" s="2">
        <v>11.46983256287861</v>
      </c>
      <c r="H89" s="2">
        <v>0.54402367887171277</v>
      </c>
    </row>
    <row r="90" spans="1:8" x14ac:dyDescent="0.45">
      <c r="A90" t="s">
        <v>248</v>
      </c>
      <c r="B90" t="s">
        <v>100</v>
      </c>
      <c r="C90" s="3">
        <v>1065</v>
      </c>
      <c r="D90" s="3">
        <v>499.54169999999999</v>
      </c>
      <c r="E90" s="3">
        <v>19.783439331036231</v>
      </c>
      <c r="F90" s="2">
        <v>53.832904490435567</v>
      </c>
      <c r="G90" s="2">
        <v>4.4860753742029642</v>
      </c>
      <c r="H90" s="2">
        <v>0.21277827861832241</v>
      </c>
    </row>
    <row r="91" spans="1:8" x14ac:dyDescent="0.45">
      <c r="A91" t="s">
        <v>243</v>
      </c>
      <c r="B91" t="s">
        <v>101</v>
      </c>
      <c r="C91" s="3">
        <v>8285</v>
      </c>
      <c r="D91" s="3">
        <v>1189.87139</v>
      </c>
      <c r="E91" s="3">
        <v>47.122689568860316</v>
      </c>
      <c r="F91" s="2">
        <v>175.81763850497421</v>
      </c>
      <c r="G91" s="2">
        <v>14.651469875414509</v>
      </c>
      <c r="H91" s="2">
        <v>0.69493137749001643</v>
      </c>
    </row>
    <row r="92" spans="1:8" x14ac:dyDescent="0.45">
      <c r="A92" t="s">
        <v>243</v>
      </c>
      <c r="B92" t="s">
        <v>102</v>
      </c>
      <c r="C92" s="3">
        <v>7375</v>
      </c>
      <c r="D92" s="3">
        <v>1004.97028</v>
      </c>
      <c r="E92" s="3">
        <v>39.800017824086538</v>
      </c>
      <c r="F92" s="2">
        <v>185.30142455204461</v>
      </c>
      <c r="G92" s="2">
        <v>15.44178537933705</v>
      </c>
      <c r="H92" s="2">
        <v>0.73241669783416818</v>
      </c>
    </row>
    <row r="93" spans="1:8" x14ac:dyDescent="0.45">
      <c r="A93" t="s">
        <v>251</v>
      </c>
      <c r="B93" t="s">
        <v>103</v>
      </c>
      <c r="C93" s="3">
        <v>2580</v>
      </c>
      <c r="D93" s="3">
        <v>521.07429999999999</v>
      </c>
      <c r="E93" s="3">
        <v>20.63619874179107</v>
      </c>
      <c r="F93" s="2">
        <v>125.0230254264393</v>
      </c>
      <c r="G93" s="2">
        <v>10.418585452203279</v>
      </c>
      <c r="H93" s="2">
        <v>0.49416215583572848</v>
      </c>
    </row>
    <row r="94" spans="1:8" x14ac:dyDescent="0.45">
      <c r="A94" t="s">
        <v>248</v>
      </c>
      <c r="B94" t="s">
        <v>105</v>
      </c>
      <c r="C94" s="3">
        <v>11020</v>
      </c>
      <c r="D94" s="3">
        <v>1634.0262499999999</v>
      </c>
      <c r="E94" s="3">
        <v>64.712633964683306</v>
      </c>
      <c r="F94" s="2">
        <v>170.2913221862384</v>
      </c>
      <c r="G94" s="2">
        <v>14.190943515519869</v>
      </c>
      <c r="H94" s="2">
        <v>0.67308822998513207</v>
      </c>
    </row>
    <row r="95" spans="1:8" x14ac:dyDescent="0.45">
      <c r="A95" t="s">
        <v>244</v>
      </c>
      <c r="B95" t="s">
        <v>106</v>
      </c>
      <c r="C95" s="3">
        <v>4250</v>
      </c>
      <c r="D95" s="3">
        <v>624.75630000000001</v>
      </c>
      <c r="E95" s="3">
        <v>24.7423355402215</v>
      </c>
      <c r="F95" s="2">
        <v>171.77036472935779</v>
      </c>
      <c r="G95" s="2">
        <v>14.31419706077982</v>
      </c>
      <c r="H95" s="2">
        <v>0.67893424794212576</v>
      </c>
    </row>
    <row r="96" spans="1:8" x14ac:dyDescent="0.45">
      <c r="A96" t="s">
        <v>245</v>
      </c>
      <c r="B96" t="s">
        <v>107</v>
      </c>
      <c r="C96" s="3">
        <v>1075</v>
      </c>
      <c r="D96" s="3">
        <v>687.03797999999995</v>
      </c>
      <c r="E96" s="3">
        <v>27.208888057689041</v>
      </c>
      <c r="F96" s="2">
        <v>39.509148544429863</v>
      </c>
      <c r="G96" s="2">
        <v>3.2924290453691549</v>
      </c>
      <c r="H96" s="2">
        <v>0.15616264246810219</v>
      </c>
    </row>
    <row r="97" spans="1:8" x14ac:dyDescent="0.45">
      <c r="A97" t="s">
        <v>244</v>
      </c>
      <c r="B97" t="s">
        <v>108</v>
      </c>
      <c r="C97" s="3">
        <v>2790</v>
      </c>
      <c r="D97" s="3">
        <v>459.68455</v>
      </c>
      <c r="E97" s="3">
        <v>18.204969487711811</v>
      </c>
      <c r="F97" s="2">
        <v>153.25485724561219</v>
      </c>
      <c r="G97" s="2">
        <v>12.77123810380102</v>
      </c>
      <c r="H97" s="2">
        <v>0.60575042389570055</v>
      </c>
    </row>
    <row r="98" spans="1:8" x14ac:dyDescent="0.45">
      <c r="A98" t="s">
        <v>244</v>
      </c>
      <c r="B98" t="s">
        <v>262</v>
      </c>
      <c r="C98" s="3">
        <v>5195</v>
      </c>
      <c r="D98" s="3">
        <v>374.35825</v>
      </c>
      <c r="E98" s="3">
        <v>14.825776760874801</v>
      </c>
      <c r="F98" s="2">
        <v>350.40322566501851</v>
      </c>
      <c r="G98" s="2">
        <v>29.200268805418212</v>
      </c>
      <c r="H98" s="2">
        <v>1.3849929868182549</v>
      </c>
    </row>
    <row r="99" spans="1:8" x14ac:dyDescent="0.45">
      <c r="A99" t="s">
        <v>244</v>
      </c>
      <c r="B99" t="s">
        <v>263</v>
      </c>
      <c r="C99" s="3">
        <v>3475</v>
      </c>
      <c r="D99" s="3">
        <v>170.78104999999999</v>
      </c>
      <c r="E99" s="3">
        <v>6.7634724820083383</v>
      </c>
      <c r="F99" s="2">
        <v>513.78933073859969</v>
      </c>
      <c r="G99" s="2">
        <v>42.815777561549972</v>
      </c>
      <c r="H99" s="2">
        <v>2.030787868532014</v>
      </c>
    </row>
    <row r="100" spans="1:8" x14ac:dyDescent="0.45">
      <c r="A100" t="s">
        <v>251</v>
      </c>
      <c r="B100" t="s">
        <v>271</v>
      </c>
      <c r="C100" s="3">
        <v>6280</v>
      </c>
      <c r="D100" s="3">
        <v>729.63867000000005</v>
      </c>
      <c r="E100" s="3">
        <v>28.89601080655121</v>
      </c>
      <c r="F100" s="2">
        <v>217.33103721625889</v>
      </c>
      <c r="G100" s="2">
        <v>18.110919768021571</v>
      </c>
      <c r="H100" s="2">
        <v>0.85901595737651737</v>
      </c>
    </row>
    <row r="101" spans="1:8" x14ac:dyDescent="0.45">
      <c r="A101" t="s">
        <v>248</v>
      </c>
      <c r="B101" t="s">
        <v>280</v>
      </c>
      <c r="C101" s="3">
        <v>3285</v>
      </c>
      <c r="D101" s="3">
        <v>522.6893</v>
      </c>
      <c r="E101" s="3">
        <v>20.700157875772518</v>
      </c>
      <c r="F101" s="2">
        <v>158.6944418353817</v>
      </c>
      <c r="G101" s="2">
        <v>13.224536819615141</v>
      </c>
      <c r="H101" s="2">
        <v>0.62725075824261545</v>
      </c>
    </row>
    <row r="102" spans="1:8" x14ac:dyDescent="0.45">
      <c r="A102" t="s">
        <v>243</v>
      </c>
      <c r="B102" t="s">
        <v>294</v>
      </c>
      <c r="C102" s="3">
        <v>21760</v>
      </c>
      <c r="D102" s="3">
        <v>2018.26594</v>
      </c>
      <c r="E102" s="3">
        <v>79.929747162022323</v>
      </c>
      <c r="F102" s="2">
        <v>272.23906959058928</v>
      </c>
      <c r="G102" s="2">
        <v>22.686589132549109</v>
      </c>
      <c r="H102" s="2">
        <v>1.0760437533224869</v>
      </c>
    </row>
    <row r="103" spans="1:8" x14ac:dyDescent="0.45">
      <c r="A103" t="s">
        <v>249</v>
      </c>
      <c r="B103" t="s">
        <v>307</v>
      </c>
      <c r="C103" s="3">
        <v>3565</v>
      </c>
      <c r="D103" s="3">
        <v>608.12036000000001</v>
      </c>
      <c r="E103" s="3">
        <v>24.083499431634859</v>
      </c>
      <c r="F103" s="2">
        <v>148.0266607483627</v>
      </c>
      <c r="G103" s="2">
        <v>12.335555062363561</v>
      </c>
      <c r="H103" s="2">
        <v>0.58508561560617678</v>
      </c>
    </row>
    <row r="104" spans="1:8" x14ac:dyDescent="0.45">
      <c r="A104" t="s">
        <v>249</v>
      </c>
      <c r="B104" t="s">
        <v>308</v>
      </c>
      <c r="C104" s="3">
        <v>3635</v>
      </c>
      <c r="D104" s="3">
        <v>479.87347999999997</v>
      </c>
      <c r="E104" s="3">
        <v>19.004515295025879</v>
      </c>
      <c r="F104" s="2">
        <v>191.2703346320757</v>
      </c>
      <c r="G104" s="2">
        <v>15.939194552672969</v>
      </c>
      <c r="H104" s="2">
        <v>0.75600922779476554</v>
      </c>
    </row>
    <row r="105" spans="1:8" x14ac:dyDescent="0.45">
      <c r="A105" t="s">
        <v>251</v>
      </c>
      <c r="B105" t="s">
        <v>309</v>
      </c>
      <c r="C105" s="3">
        <v>80</v>
      </c>
      <c r="D105" s="3">
        <v>146.9845</v>
      </c>
      <c r="E105" s="3">
        <v>5.8210534543016017</v>
      </c>
      <c r="F105" s="2">
        <v>13.74321686410252</v>
      </c>
      <c r="G105" s="2">
        <v>1.1452680720085431</v>
      </c>
      <c r="H105" s="2">
        <v>5.4321015273132489E-2</v>
      </c>
    </row>
    <row r="106" spans="1:8" x14ac:dyDescent="0.45">
      <c r="A106" t="s">
        <v>243</v>
      </c>
      <c r="B106" t="s">
        <v>311</v>
      </c>
      <c r="C106" s="3">
        <v>1400</v>
      </c>
      <c r="D106" s="3">
        <v>453.90291000000002</v>
      </c>
      <c r="E106" s="3">
        <v>17.975998164248949</v>
      </c>
      <c r="F106" s="2">
        <v>77.881627891148213</v>
      </c>
      <c r="G106" s="2">
        <v>6.4901356575956841</v>
      </c>
      <c r="H106" s="2">
        <v>0.30783252130888622</v>
      </c>
    </row>
    <row r="107" spans="1:8" x14ac:dyDescent="0.45">
      <c r="A107" t="s">
        <v>248</v>
      </c>
      <c r="B107" t="s">
        <v>312</v>
      </c>
      <c r="C107" s="3">
        <v>5015</v>
      </c>
      <c r="D107" s="3">
        <v>517.29145000000005</v>
      </c>
      <c r="E107" s="3">
        <v>20.486385856353461</v>
      </c>
      <c r="F107" s="2">
        <v>244.79671695945791</v>
      </c>
      <c r="G107" s="2">
        <v>20.39972641328816</v>
      </c>
      <c r="H107" s="2">
        <v>0.96757595636149374</v>
      </c>
    </row>
    <row r="108" spans="1:8" x14ac:dyDescent="0.45">
      <c r="A108" t="s">
        <v>251</v>
      </c>
      <c r="B108" t="s">
        <v>313</v>
      </c>
      <c r="C108" s="3">
        <v>5</v>
      </c>
      <c r="D108" s="3">
        <v>136.20912000000001</v>
      </c>
      <c r="E108" s="3">
        <v>5.3943141520594446</v>
      </c>
      <c r="F108" s="2">
        <v>0.92690189318897875</v>
      </c>
      <c r="G108" s="2">
        <v>7.7241824432414896E-2</v>
      </c>
      <c r="H108" s="2">
        <v>3.6636438465967539E-3</v>
      </c>
    </row>
    <row r="109" spans="1:8" x14ac:dyDescent="0.45">
      <c r="A109" t="s">
        <v>251</v>
      </c>
      <c r="B109" t="s">
        <v>314</v>
      </c>
      <c r="C109" s="3">
        <v>8110</v>
      </c>
      <c r="D109" s="3">
        <v>1174.7543800000001</v>
      </c>
      <c r="E109" s="3">
        <v>46.524007916854742</v>
      </c>
      <c r="F109" s="2">
        <v>174.31860158079601</v>
      </c>
      <c r="G109" s="2">
        <v>14.526550131733</v>
      </c>
      <c r="H109" s="2">
        <v>0.68900633035887737</v>
      </c>
    </row>
    <row r="110" spans="1:8" x14ac:dyDescent="0.45">
      <c r="A110" t="s">
        <v>251</v>
      </c>
      <c r="B110" t="s">
        <v>316</v>
      </c>
      <c r="C110" s="3">
        <v>7500</v>
      </c>
      <c r="D110" s="3">
        <v>868.01059999999995</v>
      </c>
      <c r="E110" s="3">
        <v>34.375979110044973</v>
      </c>
      <c r="F110" s="2">
        <v>218.17560384217339</v>
      </c>
      <c r="G110" s="2">
        <v>18.181300320181119</v>
      </c>
      <c r="H110" s="2">
        <v>0.86235416538408449</v>
      </c>
    </row>
    <row r="111" spans="1:8" x14ac:dyDescent="0.45">
      <c r="A111" t="s">
        <v>244</v>
      </c>
      <c r="B111" t="s">
        <v>327</v>
      </c>
      <c r="C111" s="3">
        <v>5390</v>
      </c>
      <c r="D111" s="3">
        <v>206.4598</v>
      </c>
      <c r="E111" s="3">
        <v>8.1764644024670492</v>
      </c>
      <c r="F111" s="2">
        <v>659.20913180686</v>
      </c>
      <c r="G111" s="2">
        <v>54.934094317238333</v>
      </c>
      <c r="H111" s="2">
        <v>2.6055696909362061</v>
      </c>
    </row>
    <row r="112" spans="1:8" x14ac:dyDescent="0.45">
      <c r="A112" t="s">
        <v>246</v>
      </c>
      <c r="B112" t="s">
        <v>123</v>
      </c>
      <c r="C112" s="3">
        <v>4690</v>
      </c>
      <c r="D112" s="3">
        <v>616.9538</v>
      </c>
      <c r="E112" s="3">
        <v>24.43333173657426</v>
      </c>
      <c r="F112" s="2">
        <v>191.95089931102351</v>
      </c>
      <c r="G112" s="2">
        <v>15.99590827591862</v>
      </c>
      <c r="H112" s="2">
        <v>0.75869920676293867</v>
      </c>
    </row>
    <row r="113" spans="1:8" x14ac:dyDescent="0.45">
      <c r="A113" t="s">
        <v>251</v>
      </c>
      <c r="B113" t="s">
        <v>124</v>
      </c>
      <c r="C113" s="3">
        <v>11755</v>
      </c>
      <c r="D113" s="3">
        <v>1179.0915399999999</v>
      </c>
      <c r="E113" s="3">
        <v>46.695773240408307</v>
      </c>
      <c r="F113" s="2">
        <v>251.7358464004999</v>
      </c>
      <c r="G113" s="2">
        <v>20.97798720004166</v>
      </c>
      <c r="H113" s="2">
        <v>0.99500334545652147</v>
      </c>
    </row>
    <row r="114" spans="1:8" x14ac:dyDescent="0.45">
      <c r="A114" t="s">
        <v>248</v>
      </c>
      <c r="B114" t="s">
        <v>125</v>
      </c>
      <c r="C114" s="3">
        <v>21960</v>
      </c>
      <c r="D114" s="3">
        <v>1862.69361</v>
      </c>
      <c r="E114" s="3">
        <v>73.768588339559756</v>
      </c>
      <c r="F114" s="2">
        <v>297.68768108882932</v>
      </c>
      <c r="G114" s="2">
        <v>24.80730675740244</v>
      </c>
      <c r="H114" s="2">
        <v>1.176631150548733</v>
      </c>
    </row>
    <row r="115" spans="1:8" x14ac:dyDescent="0.45">
      <c r="A115" t="s">
        <v>245</v>
      </c>
      <c r="B115" t="s">
        <v>126</v>
      </c>
      <c r="C115" s="3">
        <v>12615</v>
      </c>
      <c r="D115" s="3">
        <v>1918.6212499999999</v>
      </c>
      <c r="E115" s="3">
        <v>75.983500673941521</v>
      </c>
      <c r="F115" s="2">
        <v>166.02288507518449</v>
      </c>
      <c r="G115" s="2">
        <v>13.835240422932049</v>
      </c>
      <c r="H115" s="2">
        <v>0.65621693705606543</v>
      </c>
    </row>
    <row r="116" spans="1:8" x14ac:dyDescent="0.45">
      <c r="A116" t="s">
        <v>251</v>
      </c>
      <c r="B116" t="s">
        <v>127</v>
      </c>
      <c r="C116" s="3">
        <v>24270</v>
      </c>
      <c r="D116" s="3">
        <v>3054.7340199999999</v>
      </c>
      <c r="E116" s="3">
        <v>120.9771779955956</v>
      </c>
      <c r="F116" s="2">
        <v>200.61635096897029</v>
      </c>
      <c r="G116" s="2">
        <v>16.71802924741419</v>
      </c>
      <c r="H116" s="2">
        <v>0.7929500038299222</v>
      </c>
    </row>
    <row r="117" spans="1:8" x14ac:dyDescent="0.45">
      <c r="A117" t="s">
        <v>246</v>
      </c>
      <c r="B117" t="s">
        <v>128</v>
      </c>
      <c r="C117" s="3">
        <v>8390</v>
      </c>
      <c r="D117" s="3">
        <v>1667.22307</v>
      </c>
      <c r="E117" s="3">
        <v>66.027333567245662</v>
      </c>
      <c r="F117" s="2">
        <v>127.068587306425</v>
      </c>
      <c r="G117" s="2">
        <v>10.58904894220208</v>
      </c>
      <c r="H117" s="2">
        <v>0.50224738065780616</v>
      </c>
    </row>
    <row r="118" spans="1:8" x14ac:dyDescent="0.45">
      <c r="A118" t="s">
        <v>251</v>
      </c>
      <c r="B118" t="s">
        <v>129</v>
      </c>
      <c r="C118" s="3">
        <v>16360</v>
      </c>
      <c r="D118" s="3">
        <v>1360.17426</v>
      </c>
      <c r="E118" s="3">
        <v>53.867224602765077</v>
      </c>
      <c r="F118" s="2">
        <v>303.7097255454334</v>
      </c>
      <c r="G118" s="2">
        <v>25.30914379545278</v>
      </c>
      <c r="H118" s="2">
        <v>1.200433697808037</v>
      </c>
    </row>
    <row r="119" spans="1:8" x14ac:dyDescent="0.45">
      <c r="A119" t="s">
        <v>246</v>
      </c>
      <c r="B119" t="s">
        <v>130</v>
      </c>
      <c r="C119" s="3">
        <v>7870</v>
      </c>
      <c r="D119" s="3">
        <v>1181.5002500000001</v>
      </c>
      <c r="E119" s="3">
        <v>46.791165813542968</v>
      </c>
      <c r="F119" s="2">
        <v>168.19414227379971</v>
      </c>
      <c r="G119" s="2">
        <v>14.01617852281665</v>
      </c>
      <c r="H119" s="2">
        <v>0.66479898131936654</v>
      </c>
    </row>
    <row r="120" spans="1:8" x14ac:dyDescent="0.45">
      <c r="A120" t="s">
        <v>246</v>
      </c>
      <c r="B120" t="s">
        <v>131</v>
      </c>
      <c r="C120" s="3">
        <v>9990</v>
      </c>
      <c r="D120" s="3">
        <v>1292.24126</v>
      </c>
      <c r="E120" s="3">
        <v>51.176861848113603</v>
      </c>
      <c r="F120" s="2">
        <v>195.20540414629261</v>
      </c>
      <c r="G120" s="2">
        <v>16.267117012191051</v>
      </c>
      <c r="H120" s="2">
        <v>0.77156286223831083</v>
      </c>
    </row>
    <row r="121" spans="1:8" x14ac:dyDescent="0.45">
      <c r="A121" t="s">
        <v>245</v>
      </c>
      <c r="B121" t="s">
        <v>132</v>
      </c>
      <c r="C121" s="3">
        <v>16045</v>
      </c>
      <c r="D121" s="3">
        <v>2253.6870399999998</v>
      </c>
      <c r="E121" s="3">
        <v>89.253171110605209</v>
      </c>
      <c r="F121" s="2">
        <v>179.7695230359553</v>
      </c>
      <c r="G121" s="2">
        <v>14.980793586329609</v>
      </c>
      <c r="H121" s="2">
        <v>0.71055147445041611</v>
      </c>
    </row>
    <row r="122" spans="1:8" x14ac:dyDescent="0.45">
      <c r="A122" t="s">
        <v>251</v>
      </c>
      <c r="B122" t="s">
        <v>133</v>
      </c>
      <c r="C122" s="3">
        <v>12250</v>
      </c>
      <c r="D122" s="3">
        <v>1655.18967</v>
      </c>
      <c r="E122" s="3">
        <v>65.550772673838594</v>
      </c>
      <c r="F122" s="2">
        <v>186.87804125440911</v>
      </c>
      <c r="G122" s="2">
        <v>15.573170104534089</v>
      </c>
      <c r="H122" s="2">
        <v>0.73864838440477898</v>
      </c>
    </row>
    <row r="123" spans="1:8" x14ac:dyDescent="0.45">
      <c r="A123" t="s">
        <v>251</v>
      </c>
      <c r="B123" t="s">
        <v>134</v>
      </c>
      <c r="C123" s="3">
        <v>13365</v>
      </c>
      <c r="D123" s="3">
        <v>2410.09537</v>
      </c>
      <c r="E123" s="3">
        <v>95.44743819065819</v>
      </c>
      <c r="F123" s="2">
        <v>140.0247115412688</v>
      </c>
      <c r="G123" s="2">
        <v>11.668725961772401</v>
      </c>
      <c r="H123" s="2">
        <v>0.55345735787062778</v>
      </c>
    </row>
    <row r="124" spans="1:8" x14ac:dyDescent="0.45">
      <c r="A124" t="s">
        <v>244</v>
      </c>
      <c r="B124" t="s">
        <v>135</v>
      </c>
      <c r="C124" s="3">
        <v>5035</v>
      </c>
      <c r="D124" s="3">
        <v>690.06241999999997</v>
      </c>
      <c r="E124" s="3">
        <v>27.328665496189888</v>
      </c>
      <c r="F124" s="2">
        <v>184.23878036422849</v>
      </c>
      <c r="G124" s="2">
        <v>15.35323169701905</v>
      </c>
      <c r="H124" s="2">
        <v>0.72821652317876895</v>
      </c>
    </row>
    <row r="125" spans="1:8" x14ac:dyDescent="0.45">
      <c r="A125" t="s">
        <v>251</v>
      </c>
      <c r="B125" t="s">
        <v>136</v>
      </c>
      <c r="C125" s="3">
        <v>17595</v>
      </c>
      <c r="D125" s="3">
        <v>1580.36456</v>
      </c>
      <c r="E125" s="3">
        <v>62.587460453611307</v>
      </c>
      <c r="F125" s="2">
        <v>281.12660063977353</v>
      </c>
      <c r="G125" s="2">
        <v>23.427216719981121</v>
      </c>
      <c r="H125" s="2">
        <v>1.111172334544559</v>
      </c>
    </row>
    <row r="126" spans="1:8" x14ac:dyDescent="0.45">
      <c r="A126" t="s">
        <v>251</v>
      </c>
      <c r="B126" t="s">
        <v>137</v>
      </c>
      <c r="C126" s="3">
        <v>5215</v>
      </c>
      <c r="D126" s="3">
        <v>545.43624</v>
      </c>
      <c r="E126" s="3">
        <v>21.601009010836361</v>
      </c>
      <c r="F126" s="2">
        <v>241.42390743802031</v>
      </c>
      <c r="G126" s="2">
        <v>20.11865895316836</v>
      </c>
      <c r="H126" s="2">
        <v>0.95424469343091034</v>
      </c>
    </row>
    <row r="127" spans="1:8" x14ac:dyDescent="0.45">
      <c r="A127" t="s">
        <v>244</v>
      </c>
      <c r="B127" t="s">
        <v>138</v>
      </c>
      <c r="C127" s="3">
        <v>3635</v>
      </c>
      <c r="D127" s="3">
        <v>485.31434999999999</v>
      </c>
      <c r="E127" s="3">
        <v>19.219991043202761</v>
      </c>
      <c r="F127" s="2">
        <v>189.12599864532899</v>
      </c>
      <c r="G127" s="2">
        <v>15.76049988711075</v>
      </c>
      <c r="H127" s="2">
        <v>0.74753359148351373</v>
      </c>
    </row>
    <row r="128" spans="1:8" x14ac:dyDescent="0.45">
      <c r="A128" t="s">
        <v>249</v>
      </c>
      <c r="B128" t="s">
        <v>139</v>
      </c>
      <c r="C128" s="3">
        <v>4025</v>
      </c>
      <c r="D128" s="3">
        <v>759.09401000000003</v>
      </c>
      <c r="E128" s="3">
        <v>30.06253590718854</v>
      </c>
      <c r="F128" s="2">
        <v>133.88757397001709</v>
      </c>
      <c r="G128" s="2">
        <v>11.157297830834761</v>
      </c>
      <c r="H128" s="2">
        <v>0.52919989711469206</v>
      </c>
    </row>
    <row r="129" spans="1:8" x14ac:dyDescent="0.45">
      <c r="A129" t="s">
        <v>249</v>
      </c>
      <c r="B129" t="s">
        <v>140</v>
      </c>
      <c r="C129" s="3">
        <v>4080</v>
      </c>
      <c r="D129" s="3">
        <v>540.65301999999997</v>
      </c>
      <c r="E129" s="3">
        <v>21.411578293286659</v>
      </c>
      <c r="F129" s="2">
        <v>190.55110950318101</v>
      </c>
      <c r="G129" s="2">
        <v>15.879259125265079</v>
      </c>
      <c r="H129" s="2">
        <v>0.7531664407240356</v>
      </c>
    </row>
    <row r="130" spans="1:8" x14ac:dyDescent="0.45">
      <c r="A130" t="s">
        <v>248</v>
      </c>
      <c r="B130" t="s">
        <v>141</v>
      </c>
      <c r="C130" s="3">
        <v>4035</v>
      </c>
      <c r="D130" s="3">
        <v>571.37495999999999</v>
      </c>
      <c r="E130" s="3">
        <v>22.62826478036418</v>
      </c>
      <c r="F130" s="2">
        <v>178.316810376967</v>
      </c>
      <c r="G130" s="2">
        <v>14.859734198080581</v>
      </c>
      <c r="H130" s="2">
        <v>0.70480952718168777</v>
      </c>
    </row>
    <row r="131" spans="1:8" x14ac:dyDescent="0.45">
      <c r="A131" t="s">
        <v>244</v>
      </c>
      <c r="B131" t="s">
        <v>142</v>
      </c>
      <c r="C131" s="3">
        <v>5130</v>
      </c>
      <c r="D131" s="3">
        <v>711.54795000000001</v>
      </c>
      <c r="E131" s="3">
        <v>28.179560785312219</v>
      </c>
      <c r="F131" s="2">
        <v>182.0468402287471</v>
      </c>
      <c r="G131" s="2">
        <v>15.170570019062261</v>
      </c>
      <c r="H131" s="2">
        <v>0.71955272817686589</v>
      </c>
    </row>
    <row r="132" spans="1:8" x14ac:dyDescent="0.45">
      <c r="A132" t="s">
        <v>251</v>
      </c>
      <c r="B132" t="s">
        <v>143</v>
      </c>
      <c r="C132" s="3">
        <v>5710</v>
      </c>
      <c r="D132" s="3">
        <v>848.54786000000001</v>
      </c>
      <c r="E132" s="3">
        <v>33.605192735242369</v>
      </c>
      <c r="F132" s="2">
        <v>169.91421668032339</v>
      </c>
      <c r="G132" s="2">
        <v>14.15951805669361</v>
      </c>
      <c r="H132" s="2">
        <v>0.67159769438862993</v>
      </c>
    </row>
    <row r="133" spans="1:8" x14ac:dyDescent="0.45">
      <c r="A133" t="s">
        <v>244</v>
      </c>
      <c r="B133" t="s">
        <v>337</v>
      </c>
      <c r="C133" s="3">
        <v>5640</v>
      </c>
      <c r="D133" s="3">
        <v>628.83198000000004</v>
      </c>
      <c r="E133" s="3">
        <v>24.903745424546909</v>
      </c>
      <c r="F133" s="2">
        <v>226.4719584886542</v>
      </c>
      <c r="G133" s="2">
        <v>18.872663207387848</v>
      </c>
      <c r="H133" s="2">
        <v>0.895146080982823</v>
      </c>
    </row>
    <row r="134" spans="1:8" x14ac:dyDescent="0.45">
      <c r="A134" t="s">
        <v>251</v>
      </c>
      <c r="B134" t="s">
        <v>145</v>
      </c>
      <c r="C134" s="3">
        <v>4210</v>
      </c>
      <c r="D134" s="3">
        <v>433.32749999999999</v>
      </c>
      <c r="E134" s="3">
        <v>17.161146520339749</v>
      </c>
      <c r="F134" s="2">
        <v>245.32160453325309</v>
      </c>
      <c r="G134" s="2">
        <v>20.44346704443776</v>
      </c>
      <c r="H134" s="2">
        <v>0.96965061080337189</v>
      </c>
    </row>
    <row r="135" spans="1:8" x14ac:dyDescent="0.45">
      <c r="A135" t="s">
        <v>243</v>
      </c>
      <c r="B135" t="s">
        <v>146</v>
      </c>
      <c r="C135" s="3">
        <v>5625</v>
      </c>
      <c r="D135" s="3">
        <v>975.88134000000002</v>
      </c>
      <c r="E135" s="3">
        <v>38.648003328211317</v>
      </c>
      <c r="F135" s="2">
        <v>145.54438821148619</v>
      </c>
      <c r="G135" s="2">
        <v>12.12869901762385</v>
      </c>
      <c r="H135" s="2">
        <v>0.57527426170547913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7"/>
  <sheetViews>
    <sheetView workbookViewId="0">
      <selection activeCell="G1" sqref="G1:G1048576"/>
    </sheetView>
  </sheetViews>
  <sheetFormatPr defaultRowHeight="14.25" x14ac:dyDescent="0.45"/>
  <cols>
    <col min="1" max="1" width="38.86328125" bestFit="1" customWidth="1"/>
    <col min="2" max="2" width="10.59765625" customWidth="1"/>
    <col min="3" max="3" width="12.06640625" style="3" bestFit="1" customWidth="1"/>
    <col min="4" max="4" width="17.6640625" style="2" bestFit="1" customWidth="1"/>
    <col min="5" max="5" width="17.265625" style="2" customWidth="1"/>
    <col min="6" max="6" width="22.33203125" style="15" customWidth="1"/>
    <col min="7" max="7" width="20.73046875" style="2" customWidth="1"/>
    <col min="8" max="8" width="24.9296875" customWidth="1"/>
  </cols>
  <sheetData>
    <row r="1" spans="1:7" x14ac:dyDescent="0.45">
      <c r="A1" s="12" t="s">
        <v>148</v>
      </c>
      <c r="B1" s="12" t="s">
        <v>332</v>
      </c>
      <c r="C1" s="14" t="s">
        <v>1</v>
      </c>
      <c r="D1" s="13" t="s">
        <v>150</v>
      </c>
      <c r="E1" s="13" t="s">
        <v>151</v>
      </c>
      <c r="F1" s="15" t="s">
        <v>152</v>
      </c>
      <c r="G1" s="13" t="s">
        <v>338</v>
      </c>
    </row>
    <row r="2" spans="1:7" x14ac:dyDescent="0.45">
      <c r="A2" t="s">
        <v>153</v>
      </c>
      <c r="B2" t="s">
        <v>2</v>
      </c>
      <c r="C2" s="3">
        <v>1410</v>
      </c>
      <c r="D2" s="2">
        <v>138.876</v>
      </c>
      <c r="E2" s="2">
        <v>2.343</v>
      </c>
      <c r="F2" s="15">
        <v>1.68711656441718E-2</v>
      </c>
      <c r="G2" s="2">
        <v>601.79257362355952</v>
      </c>
    </row>
    <row r="3" spans="1:7" x14ac:dyDescent="0.45">
      <c r="A3" t="s">
        <v>154</v>
      </c>
      <c r="B3" t="s">
        <v>5</v>
      </c>
      <c r="C3" s="3">
        <v>4345</v>
      </c>
      <c r="D3" s="2">
        <v>482.23200000000003</v>
      </c>
      <c r="E3" s="2">
        <v>28.968</v>
      </c>
      <c r="F3" s="15">
        <v>6.0070671378091897E-2</v>
      </c>
      <c r="G3" s="2">
        <v>149.99309582988121</v>
      </c>
    </row>
    <row r="4" spans="1:7" x14ac:dyDescent="0.45">
      <c r="A4" t="s">
        <v>155</v>
      </c>
      <c r="B4" t="s">
        <v>336</v>
      </c>
      <c r="C4" s="3">
        <v>11745</v>
      </c>
      <c r="D4" s="2">
        <v>647.09399999999994</v>
      </c>
      <c r="E4" s="2">
        <v>31.311</v>
      </c>
      <c r="F4" s="15">
        <v>4.8387096774193603E-2</v>
      </c>
      <c r="G4" s="2">
        <v>375.10778959471111</v>
      </c>
    </row>
    <row r="5" spans="1:7" x14ac:dyDescent="0.45">
      <c r="A5" t="s">
        <v>155</v>
      </c>
      <c r="B5" t="s">
        <v>8</v>
      </c>
      <c r="C5" s="3">
        <v>14190</v>
      </c>
      <c r="D5" s="2">
        <v>1338.7049999999999</v>
      </c>
      <c r="E5" s="2">
        <v>447.3</v>
      </c>
      <c r="F5" s="15">
        <v>0.33412887828162302</v>
      </c>
      <c r="G5" s="2">
        <v>31.723675385647219</v>
      </c>
    </row>
    <row r="6" spans="1:7" x14ac:dyDescent="0.45">
      <c r="A6" t="s">
        <v>156</v>
      </c>
      <c r="B6" t="s">
        <v>9</v>
      </c>
      <c r="C6" s="3">
        <v>11010</v>
      </c>
      <c r="D6" s="2">
        <v>611.52300000000002</v>
      </c>
      <c r="E6" s="2">
        <v>77.745000000000005</v>
      </c>
      <c r="F6" s="15">
        <v>0.12713340299547199</v>
      </c>
      <c r="G6" s="2">
        <v>141.61682423306971</v>
      </c>
    </row>
    <row r="7" spans="1:7" x14ac:dyDescent="0.45">
      <c r="A7" t="s">
        <v>157</v>
      </c>
      <c r="B7" t="s">
        <v>10</v>
      </c>
      <c r="C7" s="3">
        <v>4145</v>
      </c>
      <c r="D7" s="2">
        <v>43.451999999999998</v>
      </c>
      <c r="E7" s="2">
        <v>11.715</v>
      </c>
      <c r="F7" s="15">
        <v>0.269607843137255</v>
      </c>
      <c r="G7" s="2">
        <v>353.81988903115672</v>
      </c>
    </row>
    <row r="8" spans="1:7" x14ac:dyDescent="0.45">
      <c r="A8" t="s">
        <v>159</v>
      </c>
      <c r="B8" t="s">
        <v>11</v>
      </c>
      <c r="C8" s="3">
        <v>4635</v>
      </c>
      <c r="D8" s="2">
        <v>159.75</v>
      </c>
      <c r="E8" s="2">
        <v>15.548999999999999</v>
      </c>
      <c r="F8" s="15">
        <v>9.73333333333333E-2</v>
      </c>
      <c r="G8" s="2">
        <v>298.08990931892731</v>
      </c>
    </row>
    <row r="9" spans="1:7" x14ac:dyDescent="0.45">
      <c r="A9" t="s">
        <v>159</v>
      </c>
      <c r="B9" t="s">
        <v>12</v>
      </c>
      <c r="C9" s="3">
        <v>2995</v>
      </c>
      <c r="D9" s="2">
        <v>111.61199999999999</v>
      </c>
      <c r="E9" s="2">
        <v>4.4729999999999999</v>
      </c>
      <c r="F9" s="15">
        <v>4.00763358778626E-2</v>
      </c>
      <c r="G9" s="2">
        <v>669.57299351665552</v>
      </c>
    </row>
    <row r="10" spans="1:7" x14ac:dyDescent="0.45">
      <c r="A10" t="s">
        <v>153</v>
      </c>
      <c r="B10" t="s">
        <v>13</v>
      </c>
      <c r="C10" s="3">
        <v>4765</v>
      </c>
      <c r="D10" s="2">
        <v>254.322</v>
      </c>
      <c r="E10" s="2">
        <v>12.78</v>
      </c>
      <c r="F10" s="15">
        <v>5.0251256281407003E-2</v>
      </c>
      <c r="G10" s="2">
        <v>372.84820031298898</v>
      </c>
    </row>
    <row r="11" spans="1:7" x14ac:dyDescent="0.45">
      <c r="A11" t="s">
        <v>154</v>
      </c>
      <c r="B11" t="s">
        <v>14</v>
      </c>
      <c r="C11" s="3">
        <v>6520</v>
      </c>
      <c r="D11" s="2">
        <v>297.98700000000002</v>
      </c>
      <c r="E11" s="2">
        <v>90.950999999999993</v>
      </c>
      <c r="F11" s="15">
        <v>0.30521801286633299</v>
      </c>
      <c r="G11" s="2">
        <v>71.686952314982804</v>
      </c>
    </row>
    <row r="12" spans="1:7" x14ac:dyDescent="0.45">
      <c r="A12" t="s">
        <v>153</v>
      </c>
      <c r="B12" t="s">
        <v>15</v>
      </c>
      <c r="C12" s="3">
        <v>5060</v>
      </c>
      <c r="D12" s="2">
        <v>619.83000000000004</v>
      </c>
      <c r="E12" s="2">
        <v>45.582000000000001</v>
      </c>
      <c r="F12" s="15">
        <v>7.3539518900343603E-2</v>
      </c>
      <c r="G12" s="2">
        <v>111.0087315168268</v>
      </c>
    </row>
    <row r="13" spans="1:7" x14ac:dyDescent="0.45">
      <c r="A13" t="s">
        <v>156</v>
      </c>
      <c r="B13" t="s">
        <v>16</v>
      </c>
      <c r="C13" s="3">
        <v>11375</v>
      </c>
      <c r="D13" s="2">
        <v>350.17200000000003</v>
      </c>
      <c r="E13" s="2">
        <v>16.827000000000002</v>
      </c>
      <c r="F13" s="15">
        <v>4.8053527980535297E-2</v>
      </c>
      <c r="G13" s="2">
        <v>675.99690972841256</v>
      </c>
    </row>
    <row r="14" spans="1:7" x14ac:dyDescent="0.45">
      <c r="A14" t="s">
        <v>155</v>
      </c>
      <c r="B14" t="s">
        <v>17</v>
      </c>
      <c r="C14" s="3">
        <v>7015</v>
      </c>
      <c r="D14" s="2">
        <v>243.03299999999999</v>
      </c>
      <c r="E14" s="2">
        <v>17.891999999999999</v>
      </c>
      <c r="F14" s="15">
        <v>7.3619631901840496E-2</v>
      </c>
      <c r="G14" s="2">
        <v>392.07467024368441</v>
      </c>
    </row>
    <row r="15" spans="1:7" x14ac:dyDescent="0.45">
      <c r="A15" t="s">
        <v>157</v>
      </c>
      <c r="B15" t="s">
        <v>18</v>
      </c>
      <c r="C15" s="3">
        <v>3465</v>
      </c>
      <c r="D15" s="2">
        <v>151.22999999999999</v>
      </c>
      <c r="E15" s="2">
        <v>11.502000000000001</v>
      </c>
      <c r="F15" s="15">
        <v>7.6056338028168996E-2</v>
      </c>
      <c r="G15" s="2">
        <v>301.25195618153361</v>
      </c>
    </row>
    <row r="16" spans="1:7" x14ac:dyDescent="0.45">
      <c r="A16" t="s">
        <v>165</v>
      </c>
      <c r="B16" t="s">
        <v>20</v>
      </c>
      <c r="C16" s="3">
        <v>2090</v>
      </c>
      <c r="D16" s="2">
        <v>36.423000000000002</v>
      </c>
      <c r="E16" s="2">
        <v>0.85199999999999998</v>
      </c>
      <c r="F16" s="15">
        <v>2.3391812865497099E-2</v>
      </c>
      <c r="G16" s="2">
        <v>2453.051643192488</v>
      </c>
    </row>
    <row r="17" spans="1:7" x14ac:dyDescent="0.45">
      <c r="A17" t="s">
        <v>159</v>
      </c>
      <c r="B17" t="s">
        <v>21</v>
      </c>
      <c r="C17" s="3">
        <v>3440</v>
      </c>
      <c r="D17" s="2">
        <v>218.32499999999999</v>
      </c>
      <c r="E17" s="2">
        <v>1.704</v>
      </c>
      <c r="F17" s="15">
        <v>7.8048780487804904E-3</v>
      </c>
      <c r="G17" s="2">
        <v>2018.7793427230049</v>
      </c>
    </row>
    <row r="18" spans="1:7" x14ac:dyDescent="0.45">
      <c r="A18" t="s">
        <v>153</v>
      </c>
      <c r="B18" t="s">
        <v>22</v>
      </c>
      <c r="C18" s="3">
        <v>7110</v>
      </c>
      <c r="D18" s="2">
        <v>648.37199999999996</v>
      </c>
      <c r="E18" s="2">
        <v>2.7690000000000001</v>
      </c>
      <c r="F18" s="15">
        <v>4.27069645203679E-3</v>
      </c>
      <c r="G18" s="2">
        <v>2567.7139761646799</v>
      </c>
    </row>
    <row r="19" spans="1:7" x14ac:dyDescent="0.45">
      <c r="A19" t="s">
        <v>155</v>
      </c>
      <c r="B19" t="s">
        <v>23</v>
      </c>
      <c r="C19" s="3">
        <v>4300</v>
      </c>
      <c r="D19" s="2">
        <v>450.06900000000002</v>
      </c>
      <c r="E19" s="2">
        <v>0.42599999999999999</v>
      </c>
      <c r="F19" s="15">
        <v>9.4652153336488402E-4</v>
      </c>
      <c r="G19" s="2">
        <v>10093.89671361502</v>
      </c>
    </row>
    <row r="20" spans="1:7" x14ac:dyDescent="0.45">
      <c r="A20" t="s">
        <v>154</v>
      </c>
      <c r="B20" t="s">
        <v>24</v>
      </c>
      <c r="C20" s="3">
        <v>5825</v>
      </c>
      <c r="D20" s="2">
        <v>423.44400000000002</v>
      </c>
      <c r="E20" s="2">
        <v>1.4910000000000001</v>
      </c>
      <c r="F20" s="15">
        <v>3.5211267605633799E-3</v>
      </c>
      <c r="G20" s="2">
        <v>3906.7739771965121</v>
      </c>
    </row>
    <row r="21" spans="1:7" x14ac:dyDescent="0.45">
      <c r="A21" t="s">
        <v>153</v>
      </c>
      <c r="B21" t="s">
        <v>25</v>
      </c>
      <c r="C21" s="3">
        <v>4705</v>
      </c>
      <c r="D21" s="2">
        <v>491.81700000000001</v>
      </c>
      <c r="E21" s="2">
        <v>27.902999999999999</v>
      </c>
      <c r="F21" s="15">
        <v>5.67345171069727E-2</v>
      </c>
      <c r="G21" s="2">
        <v>168.61986166362041</v>
      </c>
    </row>
    <row r="22" spans="1:7" x14ac:dyDescent="0.45">
      <c r="A22" t="s">
        <v>165</v>
      </c>
      <c r="B22" t="s">
        <v>26</v>
      </c>
      <c r="C22" s="3">
        <v>1915</v>
      </c>
      <c r="D22" s="2">
        <v>159.11099999999999</v>
      </c>
      <c r="E22" s="2">
        <v>12.993</v>
      </c>
      <c r="F22" s="15">
        <v>8.1659973226238303E-2</v>
      </c>
      <c r="G22" s="2">
        <v>147.38705456784419</v>
      </c>
    </row>
    <row r="23" spans="1:7" x14ac:dyDescent="0.45">
      <c r="A23" t="s">
        <v>159</v>
      </c>
      <c r="B23" t="s">
        <v>27</v>
      </c>
      <c r="C23" s="3">
        <v>2410</v>
      </c>
      <c r="D23" s="2">
        <v>145.47900000000001</v>
      </c>
      <c r="E23" s="2">
        <v>0.42599999999999999</v>
      </c>
      <c r="F23" s="15">
        <v>2.9282576866764302E-3</v>
      </c>
      <c r="G23" s="2">
        <v>5657.2769953051647</v>
      </c>
    </row>
    <row r="24" spans="1:7" x14ac:dyDescent="0.45">
      <c r="A24" t="s">
        <v>154</v>
      </c>
      <c r="B24" t="s">
        <v>28</v>
      </c>
      <c r="C24" s="3">
        <v>18950</v>
      </c>
      <c r="D24" s="2">
        <v>1417.941</v>
      </c>
      <c r="E24" s="2">
        <v>181.90199999999999</v>
      </c>
      <c r="F24" s="15">
        <v>0.12828601472134599</v>
      </c>
      <c r="G24" s="2">
        <v>104.1769744147948</v>
      </c>
    </row>
    <row r="25" spans="1:7" x14ac:dyDescent="0.45">
      <c r="A25" t="s">
        <v>156</v>
      </c>
      <c r="B25" t="s">
        <v>30</v>
      </c>
      <c r="C25" s="3">
        <v>11920</v>
      </c>
      <c r="D25" s="2">
        <v>492.03</v>
      </c>
      <c r="E25" s="2">
        <v>27.050999999999998</v>
      </c>
      <c r="F25" s="15">
        <v>5.4978354978355001E-2</v>
      </c>
      <c r="G25" s="2">
        <v>440.64914420908661</v>
      </c>
    </row>
    <row r="26" spans="1:7" x14ac:dyDescent="0.45">
      <c r="A26" t="s">
        <v>154</v>
      </c>
      <c r="B26" t="s">
        <v>31</v>
      </c>
      <c r="C26" s="3">
        <v>8625</v>
      </c>
      <c r="D26" s="2">
        <v>668.18100000000004</v>
      </c>
      <c r="E26" s="2">
        <v>86.903999999999996</v>
      </c>
      <c r="F26" s="15">
        <v>0.130060567421103</v>
      </c>
      <c r="G26" s="2">
        <v>99.24744545705606</v>
      </c>
    </row>
    <row r="27" spans="1:7" x14ac:dyDescent="0.45">
      <c r="A27" t="s">
        <v>156</v>
      </c>
      <c r="B27" t="s">
        <v>32</v>
      </c>
      <c r="C27" s="3">
        <v>4390</v>
      </c>
      <c r="D27" s="2">
        <v>557.42099999999994</v>
      </c>
      <c r="E27" s="2">
        <v>218.751</v>
      </c>
      <c r="F27" s="15">
        <v>0.39243408482995801</v>
      </c>
      <c r="G27" s="2">
        <v>20.068479686949999</v>
      </c>
    </row>
    <row r="28" spans="1:7" x14ac:dyDescent="0.45">
      <c r="A28" t="s">
        <v>155</v>
      </c>
      <c r="B28" t="s">
        <v>33</v>
      </c>
      <c r="C28" s="3">
        <v>6115</v>
      </c>
      <c r="D28" s="2">
        <v>306.93299999999999</v>
      </c>
      <c r="E28" s="2">
        <v>8.0939999999999994</v>
      </c>
      <c r="F28" s="15">
        <v>2.63705759888966E-2</v>
      </c>
      <c r="G28" s="2">
        <v>755.4978996787745</v>
      </c>
    </row>
    <row r="29" spans="1:7" x14ac:dyDescent="0.45">
      <c r="A29" t="s">
        <v>154</v>
      </c>
      <c r="B29" t="s">
        <v>34</v>
      </c>
      <c r="C29" s="3">
        <v>8145</v>
      </c>
      <c r="D29" s="2">
        <v>293.72699999999998</v>
      </c>
      <c r="E29" s="2">
        <v>11.715</v>
      </c>
      <c r="F29" s="15">
        <v>3.98839738941262E-2</v>
      </c>
      <c r="G29" s="2">
        <v>695.26248399487838</v>
      </c>
    </row>
    <row r="30" spans="1:7" x14ac:dyDescent="0.45">
      <c r="A30" t="s">
        <v>153</v>
      </c>
      <c r="B30" t="s">
        <v>35</v>
      </c>
      <c r="C30" s="3">
        <v>1645</v>
      </c>
      <c r="D30" s="2">
        <v>73.911000000000001</v>
      </c>
      <c r="E30" s="2">
        <v>0.63900000000000001</v>
      </c>
      <c r="F30" s="15">
        <v>8.6455331412103806E-3</v>
      </c>
      <c r="G30" s="2">
        <v>2574.3348982785601</v>
      </c>
    </row>
    <row r="31" spans="1:7" x14ac:dyDescent="0.45">
      <c r="A31" t="s">
        <v>157</v>
      </c>
      <c r="B31" t="s">
        <v>36</v>
      </c>
      <c r="C31" s="3">
        <v>3030</v>
      </c>
      <c r="D31" s="2">
        <v>96.489000000000004</v>
      </c>
      <c r="E31" s="2">
        <v>2.343</v>
      </c>
      <c r="F31" s="15">
        <v>2.42825607064018E-2</v>
      </c>
      <c r="G31" s="2">
        <v>1293.2138284250959</v>
      </c>
    </row>
    <row r="32" spans="1:7" x14ac:dyDescent="0.45">
      <c r="A32" t="s">
        <v>165</v>
      </c>
      <c r="B32" t="s">
        <v>37</v>
      </c>
      <c r="C32" s="3">
        <v>5385</v>
      </c>
      <c r="D32" s="2">
        <v>580.42499999999995</v>
      </c>
      <c r="E32" s="2">
        <v>99.471000000000004</v>
      </c>
      <c r="F32" s="15">
        <v>0.17137614678899099</v>
      </c>
      <c r="G32" s="2">
        <v>54.136381457912357</v>
      </c>
    </row>
    <row r="33" spans="1:7" x14ac:dyDescent="0.45">
      <c r="A33" t="s">
        <v>155</v>
      </c>
      <c r="B33" t="s">
        <v>38</v>
      </c>
      <c r="C33" s="3">
        <v>3805</v>
      </c>
      <c r="D33" s="2">
        <v>236.00399999999999</v>
      </c>
      <c r="E33" s="2">
        <v>108.843</v>
      </c>
      <c r="F33" s="15">
        <v>0.46119133574007198</v>
      </c>
      <c r="G33" s="2">
        <v>34.958610108137407</v>
      </c>
    </row>
    <row r="34" spans="1:7" x14ac:dyDescent="0.45">
      <c r="A34" t="s">
        <v>155</v>
      </c>
      <c r="B34" t="s">
        <v>40</v>
      </c>
      <c r="C34" s="3">
        <v>14035</v>
      </c>
      <c r="D34" s="2">
        <v>1118.8889999999999</v>
      </c>
      <c r="E34" s="2">
        <v>255.81299999999999</v>
      </c>
      <c r="F34" s="15">
        <v>0.22863125832857401</v>
      </c>
      <c r="G34" s="2">
        <v>54.864295403282867</v>
      </c>
    </row>
    <row r="35" spans="1:7" x14ac:dyDescent="0.45">
      <c r="A35" t="s">
        <v>154</v>
      </c>
      <c r="B35" t="s">
        <v>41</v>
      </c>
      <c r="C35" s="3">
        <v>5735</v>
      </c>
      <c r="D35" s="2">
        <v>810.678</v>
      </c>
      <c r="E35" s="2">
        <v>336.75299999999999</v>
      </c>
      <c r="F35" s="15">
        <v>0.41539674198633703</v>
      </c>
      <c r="G35" s="2">
        <v>17.03028629292092</v>
      </c>
    </row>
    <row r="36" spans="1:7" x14ac:dyDescent="0.45">
      <c r="A36" t="s">
        <v>154</v>
      </c>
      <c r="B36" t="s">
        <v>42</v>
      </c>
      <c r="C36" s="3">
        <v>1715</v>
      </c>
      <c r="D36" s="2">
        <v>253.89599999999999</v>
      </c>
      <c r="E36" s="2">
        <v>2.13</v>
      </c>
      <c r="F36" s="15">
        <v>8.3892617449664395E-3</v>
      </c>
      <c r="G36" s="2">
        <v>805.16431924882636</v>
      </c>
    </row>
    <row r="37" spans="1:7" x14ac:dyDescent="0.45">
      <c r="A37" t="s">
        <v>153</v>
      </c>
      <c r="B37" t="s">
        <v>43</v>
      </c>
      <c r="C37" s="3">
        <v>1990</v>
      </c>
      <c r="D37" s="2">
        <v>322.26900000000001</v>
      </c>
      <c r="E37" s="2">
        <v>133.33799999999999</v>
      </c>
      <c r="F37" s="15">
        <v>0.41374752148050198</v>
      </c>
      <c r="G37" s="2">
        <v>14.92447764328249</v>
      </c>
    </row>
    <row r="38" spans="1:7" x14ac:dyDescent="0.45">
      <c r="A38" t="s">
        <v>154</v>
      </c>
      <c r="B38" t="s">
        <v>44</v>
      </c>
      <c r="C38" s="3">
        <v>5625</v>
      </c>
      <c r="D38" s="2">
        <v>709.92899999999997</v>
      </c>
      <c r="E38" s="2">
        <v>0.42599999999999999</v>
      </c>
      <c r="F38" s="15">
        <v>6.000600060006E-4</v>
      </c>
      <c r="G38" s="2">
        <v>13204.22535211268</v>
      </c>
    </row>
    <row r="39" spans="1:7" x14ac:dyDescent="0.45">
      <c r="A39" t="s">
        <v>155</v>
      </c>
      <c r="B39" t="s">
        <v>45</v>
      </c>
      <c r="C39" s="3">
        <v>55</v>
      </c>
      <c r="D39" s="2">
        <v>417.90600000000001</v>
      </c>
      <c r="E39" s="2">
        <v>138.23699999999999</v>
      </c>
      <c r="F39" s="15">
        <v>0.33078491335372101</v>
      </c>
      <c r="G39" s="2">
        <v>0.39786743057213342</v>
      </c>
    </row>
    <row r="40" spans="1:7" x14ac:dyDescent="0.45">
      <c r="A40" t="s">
        <v>153</v>
      </c>
      <c r="B40" t="s">
        <v>46</v>
      </c>
      <c r="C40" s="3">
        <v>11500</v>
      </c>
      <c r="D40" s="2">
        <v>635.80499999999995</v>
      </c>
      <c r="E40" s="2">
        <v>11.928000000000001</v>
      </c>
      <c r="F40" s="15">
        <v>1.87604690117253E-2</v>
      </c>
      <c r="G40" s="2">
        <v>964.1180415828303</v>
      </c>
    </row>
    <row r="41" spans="1:7" x14ac:dyDescent="0.45">
      <c r="A41" t="s">
        <v>155</v>
      </c>
      <c r="B41" t="s">
        <v>47</v>
      </c>
      <c r="C41" s="3">
        <v>24625</v>
      </c>
      <c r="D41" s="2">
        <v>976.39199999999994</v>
      </c>
      <c r="E41" s="2">
        <v>151.22999999999999</v>
      </c>
      <c r="F41" s="15">
        <v>0.154886561954625</v>
      </c>
      <c r="G41" s="2">
        <v>162.83144878661639</v>
      </c>
    </row>
    <row r="42" spans="1:7" x14ac:dyDescent="0.45">
      <c r="A42" t="s">
        <v>154</v>
      </c>
      <c r="B42" t="s">
        <v>48</v>
      </c>
      <c r="C42" s="3">
        <v>9860</v>
      </c>
      <c r="D42" s="2">
        <v>949.55399999999997</v>
      </c>
      <c r="E42" s="2">
        <v>2.343</v>
      </c>
      <c r="F42" s="15">
        <v>2.4674742036787799E-3</v>
      </c>
      <c r="G42" s="2">
        <v>4208.2799829278702</v>
      </c>
    </row>
    <row r="43" spans="1:7" x14ac:dyDescent="0.45">
      <c r="A43" t="s">
        <v>154</v>
      </c>
      <c r="B43" t="s">
        <v>49</v>
      </c>
      <c r="C43" s="3">
        <v>2425</v>
      </c>
      <c r="D43" s="2">
        <v>79.022999999999996</v>
      </c>
      <c r="E43" s="2">
        <v>1.278</v>
      </c>
      <c r="F43" s="15">
        <v>1.61725067385445E-2</v>
      </c>
      <c r="G43" s="2">
        <v>1897.496087636933</v>
      </c>
    </row>
    <row r="44" spans="1:7" x14ac:dyDescent="0.45">
      <c r="A44" t="s">
        <v>156</v>
      </c>
      <c r="B44" t="s">
        <v>50</v>
      </c>
      <c r="C44" s="3">
        <v>3685</v>
      </c>
      <c r="D44" s="2">
        <v>269.87099999999998</v>
      </c>
      <c r="E44" s="2">
        <v>11.289</v>
      </c>
      <c r="F44" s="15">
        <v>4.1831097079715898E-2</v>
      </c>
      <c r="G44" s="2">
        <v>326.4239525201524</v>
      </c>
    </row>
    <row r="45" spans="1:7" x14ac:dyDescent="0.45">
      <c r="A45" t="s">
        <v>157</v>
      </c>
      <c r="B45" t="s">
        <v>51</v>
      </c>
      <c r="C45" s="3">
        <v>3635</v>
      </c>
      <c r="D45" s="2">
        <v>440.48399999999998</v>
      </c>
      <c r="E45" s="2">
        <v>98.619</v>
      </c>
      <c r="F45" s="15">
        <v>0.22388781431334601</v>
      </c>
      <c r="G45" s="2">
        <v>36.859023109137183</v>
      </c>
    </row>
    <row r="46" spans="1:7" x14ac:dyDescent="0.45">
      <c r="A46" t="s">
        <v>155</v>
      </c>
      <c r="B46" t="s">
        <v>52</v>
      </c>
      <c r="C46" s="3">
        <v>18320</v>
      </c>
      <c r="D46" s="2">
        <v>866.697</v>
      </c>
      <c r="E46" s="2">
        <v>264.33300000000003</v>
      </c>
      <c r="F46" s="15">
        <v>0.30498894077168798</v>
      </c>
      <c r="G46" s="2">
        <v>69.306518671524174</v>
      </c>
    </row>
    <row r="47" spans="1:7" x14ac:dyDescent="0.45">
      <c r="A47" t="s">
        <v>155</v>
      </c>
      <c r="B47" t="s">
        <v>53</v>
      </c>
      <c r="C47" s="3">
        <v>5600</v>
      </c>
      <c r="D47" s="2">
        <v>464.97899999999998</v>
      </c>
      <c r="E47" s="2">
        <v>69.438000000000002</v>
      </c>
      <c r="F47" s="15">
        <v>0.149335776454421</v>
      </c>
      <c r="G47" s="2">
        <v>80.647484086523221</v>
      </c>
    </row>
    <row r="48" spans="1:7" x14ac:dyDescent="0.45">
      <c r="A48" t="s">
        <v>159</v>
      </c>
      <c r="B48" t="s">
        <v>54</v>
      </c>
      <c r="C48" s="3">
        <v>13420</v>
      </c>
      <c r="D48" s="2">
        <v>415.77600000000001</v>
      </c>
      <c r="E48" s="2">
        <v>71.355000000000004</v>
      </c>
      <c r="F48" s="15">
        <v>0.17161885245901601</v>
      </c>
      <c r="G48" s="2">
        <v>188.0737159274052</v>
      </c>
    </row>
    <row r="49" spans="1:7" x14ac:dyDescent="0.45">
      <c r="A49" t="s">
        <v>153</v>
      </c>
      <c r="B49" t="s">
        <v>55</v>
      </c>
      <c r="C49" s="3">
        <v>17315</v>
      </c>
      <c r="D49" s="2">
        <v>809.18700000000001</v>
      </c>
      <c r="E49" s="2">
        <v>77.105999999999995</v>
      </c>
      <c r="F49" s="15">
        <v>9.5288233745722595E-2</v>
      </c>
      <c r="G49" s="2">
        <v>224.56099395637179</v>
      </c>
    </row>
    <row r="50" spans="1:7" x14ac:dyDescent="0.45">
      <c r="A50" t="s">
        <v>155</v>
      </c>
      <c r="B50" t="s">
        <v>56</v>
      </c>
      <c r="C50" s="3">
        <v>5705</v>
      </c>
      <c r="D50" s="2">
        <v>899.92499999999995</v>
      </c>
      <c r="E50" s="2">
        <v>282.86399999999998</v>
      </c>
      <c r="F50" s="15">
        <v>0.31431952662721901</v>
      </c>
      <c r="G50" s="2">
        <v>20.168702980937841</v>
      </c>
    </row>
    <row r="51" spans="1:7" x14ac:dyDescent="0.45">
      <c r="A51" t="s">
        <v>159</v>
      </c>
      <c r="B51" t="s">
        <v>57</v>
      </c>
      <c r="C51" s="3">
        <v>250</v>
      </c>
      <c r="D51" s="2">
        <v>187.44</v>
      </c>
      <c r="E51" s="2">
        <v>17.04</v>
      </c>
      <c r="F51" s="15">
        <v>9.0909090909090898E-2</v>
      </c>
      <c r="G51" s="2">
        <v>14.67136150234742</v>
      </c>
    </row>
    <row r="52" spans="1:7" x14ac:dyDescent="0.45">
      <c r="A52" t="s">
        <v>159</v>
      </c>
      <c r="B52" t="s">
        <v>58</v>
      </c>
      <c r="C52" s="3">
        <v>5580</v>
      </c>
      <c r="D52" s="2">
        <v>408.96</v>
      </c>
      <c r="E52" s="2">
        <v>1.0649999999999999</v>
      </c>
      <c r="F52" s="15">
        <v>2.60416666666667E-3</v>
      </c>
      <c r="G52" s="2">
        <v>5239.4366197183099</v>
      </c>
    </row>
    <row r="53" spans="1:7" x14ac:dyDescent="0.45">
      <c r="A53" t="s">
        <v>155</v>
      </c>
      <c r="B53" t="s">
        <v>59</v>
      </c>
      <c r="C53" s="3">
        <v>10160</v>
      </c>
      <c r="D53" s="2">
        <v>685.00800000000004</v>
      </c>
      <c r="E53" s="2">
        <v>34.719000000000001</v>
      </c>
      <c r="F53" s="15">
        <v>5.0684079601989999E-2</v>
      </c>
      <c r="G53" s="2">
        <v>292.63515654252711</v>
      </c>
    </row>
    <row r="54" spans="1:7" x14ac:dyDescent="0.45">
      <c r="A54" t="s">
        <v>154</v>
      </c>
      <c r="B54" t="s">
        <v>60</v>
      </c>
      <c r="C54" s="3">
        <v>11935</v>
      </c>
      <c r="D54" s="2">
        <v>324.82499999999999</v>
      </c>
      <c r="E54" s="2">
        <v>13.206</v>
      </c>
      <c r="F54" s="15">
        <v>4.0655737704918003E-2</v>
      </c>
      <c r="G54" s="2">
        <v>903.75586854460096</v>
      </c>
    </row>
    <row r="55" spans="1:7" x14ac:dyDescent="0.45">
      <c r="A55" t="s">
        <v>159</v>
      </c>
      <c r="B55" t="s">
        <v>61</v>
      </c>
      <c r="C55" s="3">
        <v>12355</v>
      </c>
      <c r="D55" s="2">
        <v>1447.335</v>
      </c>
      <c r="E55" s="2">
        <v>290.53199999999998</v>
      </c>
      <c r="F55" s="15">
        <v>0.20073583517292101</v>
      </c>
      <c r="G55" s="2">
        <v>42.52543609654014</v>
      </c>
    </row>
    <row r="56" spans="1:7" x14ac:dyDescent="0.45">
      <c r="A56" t="s">
        <v>154</v>
      </c>
      <c r="B56" t="s">
        <v>62</v>
      </c>
      <c r="C56" s="3">
        <v>5060</v>
      </c>
      <c r="D56" s="2">
        <v>282.65100000000001</v>
      </c>
      <c r="E56" s="2">
        <v>3.621</v>
      </c>
      <c r="F56" s="15">
        <v>1.2810851544837999E-2</v>
      </c>
      <c r="G56" s="2">
        <v>1397.404032035349</v>
      </c>
    </row>
    <row r="57" spans="1:7" x14ac:dyDescent="0.45">
      <c r="A57" t="s">
        <v>159</v>
      </c>
      <c r="B57" t="s">
        <v>63</v>
      </c>
      <c r="C57" s="3">
        <v>5855</v>
      </c>
      <c r="D57" s="2">
        <v>366.99900000000002</v>
      </c>
      <c r="E57" s="2">
        <v>6.8159999999999998</v>
      </c>
      <c r="F57" s="15">
        <v>1.8572257690075401E-2</v>
      </c>
      <c r="G57" s="2">
        <v>859.00821596244134</v>
      </c>
    </row>
    <row r="58" spans="1:7" x14ac:dyDescent="0.45">
      <c r="A58" t="s">
        <v>159</v>
      </c>
      <c r="B58" t="s">
        <v>64</v>
      </c>
      <c r="C58" s="3">
        <v>4515</v>
      </c>
      <c r="D58" s="2">
        <v>466.89600000000002</v>
      </c>
      <c r="E58" s="2">
        <v>10.224</v>
      </c>
      <c r="F58" s="15">
        <v>2.18978102189781E-2</v>
      </c>
      <c r="G58" s="2">
        <v>441.60798122065728</v>
      </c>
    </row>
    <row r="59" spans="1:7" x14ac:dyDescent="0.45">
      <c r="A59" t="s">
        <v>153</v>
      </c>
      <c r="B59" t="s">
        <v>65</v>
      </c>
      <c r="C59" s="3">
        <v>8100</v>
      </c>
      <c r="D59" s="2">
        <v>621.74699999999996</v>
      </c>
      <c r="E59" s="2">
        <v>0.21299999999999999</v>
      </c>
      <c r="F59" s="15">
        <v>3.4258307639602599E-4</v>
      </c>
      <c r="G59" s="2">
        <v>38028.169014084509</v>
      </c>
    </row>
    <row r="60" spans="1:7" x14ac:dyDescent="0.45">
      <c r="A60" t="s">
        <v>156</v>
      </c>
      <c r="B60" t="s">
        <v>66</v>
      </c>
      <c r="C60" s="3">
        <v>16060</v>
      </c>
      <c r="D60" s="2">
        <v>1610.9190000000001</v>
      </c>
      <c r="E60" s="2">
        <v>273.06599999999997</v>
      </c>
      <c r="F60" s="15">
        <v>0.16950945392040201</v>
      </c>
      <c r="G60" s="2">
        <v>58.813620150439817</v>
      </c>
    </row>
    <row r="61" spans="1:7" x14ac:dyDescent="0.45">
      <c r="A61" t="s">
        <v>156</v>
      </c>
      <c r="B61" t="s">
        <v>67</v>
      </c>
      <c r="C61" s="3">
        <v>6655</v>
      </c>
      <c r="D61" s="2">
        <v>210.65700000000001</v>
      </c>
      <c r="E61" s="2">
        <v>4.0469999999999997</v>
      </c>
      <c r="F61" s="15">
        <v>1.9211324570273001E-2</v>
      </c>
      <c r="G61" s="2">
        <v>1644.427971336793</v>
      </c>
    </row>
    <row r="62" spans="1:7" x14ac:dyDescent="0.45">
      <c r="A62" t="s">
        <v>155</v>
      </c>
      <c r="B62" t="s">
        <v>68</v>
      </c>
      <c r="C62" s="3">
        <v>1845</v>
      </c>
      <c r="D62" s="2">
        <v>29.82</v>
      </c>
      <c r="E62" s="2">
        <v>0.42599999999999999</v>
      </c>
      <c r="F62" s="15">
        <v>1.4285714285714299E-2</v>
      </c>
      <c r="G62" s="2">
        <v>4330.9859154929582</v>
      </c>
    </row>
    <row r="63" spans="1:7" x14ac:dyDescent="0.45">
      <c r="A63" t="s">
        <v>156</v>
      </c>
      <c r="B63" t="s">
        <v>69</v>
      </c>
      <c r="C63" s="3">
        <v>7780</v>
      </c>
      <c r="D63" s="2">
        <v>991.08899999999994</v>
      </c>
      <c r="E63" s="2">
        <v>204.69300000000001</v>
      </c>
      <c r="F63" s="15">
        <v>0.20653341929937699</v>
      </c>
      <c r="G63" s="2">
        <v>38.00813901794394</v>
      </c>
    </row>
    <row r="64" spans="1:7" x14ac:dyDescent="0.45">
      <c r="A64" t="s">
        <v>165</v>
      </c>
      <c r="B64" t="s">
        <v>70</v>
      </c>
      <c r="C64" s="3">
        <v>10825</v>
      </c>
      <c r="D64" s="2">
        <v>549.54</v>
      </c>
      <c r="E64" s="2">
        <v>0.42599999999999999</v>
      </c>
      <c r="F64" s="15">
        <v>7.7519379844961196E-4</v>
      </c>
      <c r="G64" s="2">
        <v>25410.798122065731</v>
      </c>
    </row>
    <row r="65" spans="1:7" x14ac:dyDescent="0.45">
      <c r="A65" t="s">
        <v>153</v>
      </c>
      <c r="B65" t="s">
        <v>72</v>
      </c>
      <c r="C65" s="3">
        <v>3495</v>
      </c>
      <c r="D65" s="2">
        <v>224.928</v>
      </c>
      <c r="E65" s="2">
        <v>31.311</v>
      </c>
      <c r="F65" s="15">
        <v>0.139204545454545</v>
      </c>
      <c r="G65" s="2">
        <v>111.62211363418611</v>
      </c>
    </row>
    <row r="66" spans="1:7" x14ac:dyDescent="0.45">
      <c r="A66" t="s">
        <v>156</v>
      </c>
      <c r="B66" t="s">
        <v>73</v>
      </c>
      <c r="C66" s="3">
        <v>7560</v>
      </c>
      <c r="D66" s="2">
        <v>518.22900000000004</v>
      </c>
      <c r="E66" s="2">
        <v>119.706</v>
      </c>
      <c r="F66" s="15">
        <v>0.230990546650226</v>
      </c>
      <c r="G66" s="2">
        <v>63.154729086261341</v>
      </c>
    </row>
    <row r="67" spans="1:7" x14ac:dyDescent="0.45">
      <c r="A67" t="s">
        <v>157</v>
      </c>
      <c r="B67" t="s">
        <v>74</v>
      </c>
      <c r="C67" s="3">
        <v>6170</v>
      </c>
      <c r="D67" s="2">
        <v>634.95299999999997</v>
      </c>
      <c r="E67" s="2">
        <v>92.228999999999999</v>
      </c>
      <c r="F67" s="15">
        <v>0.14525327071452501</v>
      </c>
      <c r="G67" s="2">
        <v>66.89869780654675</v>
      </c>
    </row>
    <row r="68" spans="1:7" x14ac:dyDescent="0.45">
      <c r="A68" t="s">
        <v>159</v>
      </c>
      <c r="B68" t="s">
        <v>75</v>
      </c>
      <c r="C68" s="3">
        <v>27325</v>
      </c>
      <c r="D68" s="2">
        <v>1439.454</v>
      </c>
      <c r="E68" s="2">
        <v>54.314999999999998</v>
      </c>
      <c r="F68" s="15">
        <v>3.77330571174904E-2</v>
      </c>
      <c r="G68" s="2">
        <v>503.08386265304239</v>
      </c>
    </row>
    <row r="69" spans="1:7" x14ac:dyDescent="0.45">
      <c r="A69" t="s">
        <v>153</v>
      </c>
      <c r="B69" t="s">
        <v>76</v>
      </c>
      <c r="C69" s="3">
        <v>8890</v>
      </c>
      <c r="D69" s="2">
        <v>1149.5609999999999</v>
      </c>
      <c r="E69" s="2">
        <v>283.077</v>
      </c>
      <c r="F69" s="15">
        <v>0.24624791550861599</v>
      </c>
      <c r="G69" s="2">
        <v>31.404882770412289</v>
      </c>
    </row>
    <row r="70" spans="1:7" x14ac:dyDescent="0.45">
      <c r="A70" t="s">
        <v>153</v>
      </c>
      <c r="B70" t="s">
        <v>77</v>
      </c>
      <c r="C70" s="3">
        <v>4700</v>
      </c>
      <c r="D70" s="2">
        <v>465.83100000000002</v>
      </c>
      <c r="E70" s="2">
        <v>4.6859999999999999</v>
      </c>
      <c r="F70" s="15">
        <v>1.00594421582076E-2</v>
      </c>
      <c r="G70" s="2">
        <v>1002.9876227059329</v>
      </c>
    </row>
    <row r="71" spans="1:7" x14ac:dyDescent="0.45">
      <c r="A71" t="s">
        <v>157</v>
      </c>
      <c r="B71" t="s">
        <v>78</v>
      </c>
      <c r="C71" s="3">
        <v>17670</v>
      </c>
      <c r="D71" s="2">
        <v>992.36699999999996</v>
      </c>
      <c r="E71" s="2">
        <v>211.50899999999999</v>
      </c>
      <c r="F71" s="15">
        <v>0.213135866065679</v>
      </c>
      <c r="G71" s="2">
        <v>83.542544288895513</v>
      </c>
    </row>
    <row r="72" spans="1:7" x14ac:dyDescent="0.45">
      <c r="A72" t="s">
        <v>154</v>
      </c>
      <c r="B72" t="s">
        <v>80</v>
      </c>
      <c r="C72" s="3">
        <v>13260</v>
      </c>
      <c r="D72" s="2">
        <v>1187.049</v>
      </c>
      <c r="E72" s="2">
        <v>134.40299999999999</v>
      </c>
      <c r="F72" s="15">
        <v>0.11322447514803501</v>
      </c>
      <c r="G72" s="2">
        <v>98.658512086783787</v>
      </c>
    </row>
    <row r="73" spans="1:7" x14ac:dyDescent="0.45">
      <c r="A73" t="s">
        <v>154</v>
      </c>
      <c r="B73" t="s">
        <v>84</v>
      </c>
      <c r="C73" s="3">
        <v>350</v>
      </c>
      <c r="D73" s="2">
        <v>43.451999999999998</v>
      </c>
      <c r="E73" s="2">
        <v>0.85199999999999998</v>
      </c>
      <c r="F73" s="15">
        <v>1.9607843137254902E-2</v>
      </c>
      <c r="G73" s="2">
        <v>410.79812206572768</v>
      </c>
    </row>
    <row r="74" spans="1:7" x14ac:dyDescent="0.45">
      <c r="A74" t="s">
        <v>154</v>
      </c>
      <c r="B74" t="s">
        <v>86</v>
      </c>
      <c r="C74" s="3">
        <v>6115</v>
      </c>
      <c r="D74" s="2">
        <v>490.53899999999999</v>
      </c>
      <c r="E74" s="2">
        <v>10.224</v>
      </c>
      <c r="F74" s="15">
        <v>2.08423795049935E-2</v>
      </c>
      <c r="G74" s="2">
        <v>598.10250391236309</v>
      </c>
    </row>
    <row r="75" spans="1:7" x14ac:dyDescent="0.45">
      <c r="A75" t="s">
        <v>165</v>
      </c>
      <c r="B75" t="s">
        <v>87</v>
      </c>
      <c r="C75" s="3">
        <v>8460</v>
      </c>
      <c r="D75" s="2">
        <v>594.05700000000002</v>
      </c>
      <c r="E75" s="2">
        <v>17.253</v>
      </c>
      <c r="F75" s="15">
        <v>2.90426676228039E-2</v>
      </c>
      <c r="G75" s="2">
        <v>490.34950443401152</v>
      </c>
    </row>
    <row r="76" spans="1:7" x14ac:dyDescent="0.45">
      <c r="A76" t="s">
        <v>165</v>
      </c>
      <c r="B76" t="s">
        <v>88</v>
      </c>
      <c r="C76" s="3">
        <v>7495</v>
      </c>
      <c r="D76" s="2">
        <v>724.19999999999993</v>
      </c>
      <c r="E76" s="2">
        <v>212.78700000000001</v>
      </c>
      <c r="F76" s="15">
        <v>0.29382352941176498</v>
      </c>
      <c r="G76" s="2">
        <v>35.223016443673721</v>
      </c>
    </row>
    <row r="77" spans="1:7" x14ac:dyDescent="0.45">
      <c r="A77" t="s">
        <v>155</v>
      </c>
      <c r="B77" t="s">
        <v>89</v>
      </c>
      <c r="C77" s="3">
        <v>12925</v>
      </c>
      <c r="D77" s="2">
        <v>844.971</v>
      </c>
      <c r="E77" s="2">
        <v>5.3250000000000002</v>
      </c>
      <c r="F77" s="15">
        <v>6.3019914292916602E-3</v>
      </c>
      <c r="G77" s="2">
        <v>2427.2300469483571</v>
      </c>
    </row>
    <row r="78" spans="1:7" x14ac:dyDescent="0.45">
      <c r="A78" t="s">
        <v>155</v>
      </c>
      <c r="B78" t="s">
        <v>90</v>
      </c>
      <c r="C78" s="3">
        <v>220</v>
      </c>
      <c r="D78" s="2">
        <v>216.40799999999999</v>
      </c>
      <c r="E78" s="2">
        <v>2.13</v>
      </c>
      <c r="F78" s="15">
        <v>9.8425196850393699E-3</v>
      </c>
      <c r="G78" s="2">
        <v>103.2863849765258</v>
      </c>
    </row>
    <row r="79" spans="1:7" x14ac:dyDescent="0.45">
      <c r="A79" t="s">
        <v>156</v>
      </c>
      <c r="B79" t="s">
        <v>91</v>
      </c>
      <c r="C79" s="3">
        <v>35</v>
      </c>
      <c r="D79" s="2">
        <v>53.889000000000003</v>
      </c>
      <c r="E79" s="2">
        <v>9.3719999999999999</v>
      </c>
      <c r="F79" s="15">
        <v>0.173913043478261</v>
      </c>
      <c r="G79" s="2">
        <v>3.7345283824157058</v>
      </c>
    </row>
    <row r="80" spans="1:7" x14ac:dyDescent="0.45">
      <c r="A80" t="s">
        <v>154</v>
      </c>
      <c r="B80" t="s">
        <v>92</v>
      </c>
      <c r="C80" s="3">
        <v>3920</v>
      </c>
      <c r="D80" s="2">
        <v>287.76299999999998</v>
      </c>
      <c r="E80" s="2">
        <v>21.513000000000002</v>
      </c>
      <c r="F80" s="15">
        <v>7.4759437453738004E-2</v>
      </c>
      <c r="G80" s="2">
        <v>182.21540463905541</v>
      </c>
    </row>
    <row r="81" spans="1:7" x14ac:dyDescent="0.45">
      <c r="A81" t="s">
        <v>165</v>
      </c>
      <c r="B81" t="s">
        <v>93</v>
      </c>
      <c r="C81" s="3">
        <v>5370</v>
      </c>
      <c r="D81" s="2">
        <v>401.505</v>
      </c>
      <c r="E81" s="2">
        <v>91.376999999999995</v>
      </c>
      <c r="F81" s="15">
        <v>0.22758620689655201</v>
      </c>
      <c r="G81" s="2">
        <v>58.767523556255952</v>
      </c>
    </row>
    <row r="82" spans="1:7" x14ac:dyDescent="0.45">
      <c r="A82" t="s">
        <v>165</v>
      </c>
      <c r="B82" t="s">
        <v>94</v>
      </c>
      <c r="C82" s="3">
        <v>2875</v>
      </c>
      <c r="D82" s="2">
        <v>182.328</v>
      </c>
      <c r="E82" s="2">
        <v>22.577999999999999</v>
      </c>
      <c r="F82" s="15">
        <v>0.123831775700935</v>
      </c>
      <c r="G82" s="2">
        <v>127.3363451147134</v>
      </c>
    </row>
    <row r="83" spans="1:7" x14ac:dyDescent="0.45">
      <c r="A83" t="s">
        <v>157</v>
      </c>
      <c r="B83" t="s">
        <v>95</v>
      </c>
      <c r="C83" s="3">
        <v>7625</v>
      </c>
      <c r="D83" s="2">
        <v>1229.6489999999999</v>
      </c>
      <c r="E83" s="2">
        <v>269.87099999999998</v>
      </c>
      <c r="F83" s="15">
        <v>0.21946994630175001</v>
      </c>
      <c r="G83" s="2">
        <v>28.25423998873536</v>
      </c>
    </row>
    <row r="84" spans="1:7" x14ac:dyDescent="0.45">
      <c r="A84" t="s">
        <v>153</v>
      </c>
      <c r="B84" t="s">
        <v>96</v>
      </c>
      <c r="C84" s="3">
        <v>1770</v>
      </c>
      <c r="D84" s="2">
        <v>48.350999999999999</v>
      </c>
      <c r="E84" s="2">
        <v>6.6029999999999998</v>
      </c>
      <c r="F84" s="15">
        <v>0.136563876651982</v>
      </c>
      <c r="G84" s="2">
        <v>268.05997273966381</v>
      </c>
    </row>
    <row r="85" spans="1:7" x14ac:dyDescent="0.45">
      <c r="A85" t="s">
        <v>153</v>
      </c>
      <c r="B85" t="s">
        <v>97</v>
      </c>
      <c r="C85" s="3">
        <v>16860</v>
      </c>
      <c r="D85" s="2">
        <v>1527.423</v>
      </c>
      <c r="E85" s="2">
        <v>534.41700000000003</v>
      </c>
      <c r="F85" s="15">
        <v>0.34988146701994099</v>
      </c>
      <c r="G85" s="2">
        <v>31.548397599627251</v>
      </c>
    </row>
    <row r="86" spans="1:7" x14ac:dyDescent="0.45">
      <c r="A86" t="s">
        <v>157</v>
      </c>
      <c r="B86" t="s">
        <v>98</v>
      </c>
      <c r="C86" s="3">
        <v>5395</v>
      </c>
      <c r="D86" s="2">
        <v>178.92</v>
      </c>
      <c r="E86" s="2">
        <v>7.0289999999999999</v>
      </c>
      <c r="F86" s="15">
        <v>3.9285714285714299E-2</v>
      </c>
      <c r="G86" s="2">
        <v>767.53449992886613</v>
      </c>
    </row>
    <row r="87" spans="1:7" x14ac:dyDescent="0.45">
      <c r="A87" t="s">
        <v>165</v>
      </c>
      <c r="B87" t="s">
        <v>99</v>
      </c>
      <c r="C87" s="3">
        <v>6480</v>
      </c>
      <c r="D87" s="2">
        <v>423.65699999999998</v>
      </c>
      <c r="E87" s="2">
        <v>98.192999999999998</v>
      </c>
      <c r="F87" s="15">
        <v>0.23177476118652601</v>
      </c>
      <c r="G87" s="2">
        <v>65.992484189300669</v>
      </c>
    </row>
    <row r="88" spans="1:7" x14ac:dyDescent="0.45">
      <c r="A88" t="s">
        <v>153</v>
      </c>
      <c r="B88" t="s">
        <v>101</v>
      </c>
      <c r="C88" s="3">
        <v>8285</v>
      </c>
      <c r="D88" s="2">
        <v>564.87599999999998</v>
      </c>
      <c r="E88" s="2">
        <v>20.661000000000001</v>
      </c>
      <c r="F88" s="15">
        <v>3.6576168929110101E-2</v>
      </c>
      <c r="G88" s="2">
        <v>400.99704757756149</v>
      </c>
    </row>
    <row r="89" spans="1:7" x14ac:dyDescent="0.45">
      <c r="A89" t="s">
        <v>153</v>
      </c>
      <c r="B89" t="s">
        <v>102</v>
      </c>
      <c r="C89" s="3">
        <v>7375</v>
      </c>
      <c r="D89" s="2">
        <v>317.58300000000003</v>
      </c>
      <c r="E89" s="2">
        <v>50.268000000000001</v>
      </c>
      <c r="F89" s="15">
        <v>0.158283031522468</v>
      </c>
      <c r="G89" s="2">
        <v>146.7136150234742</v>
      </c>
    </row>
    <row r="90" spans="1:7" x14ac:dyDescent="0.45">
      <c r="A90" t="s">
        <v>157</v>
      </c>
      <c r="B90" t="s">
        <v>103</v>
      </c>
      <c r="C90" s="3">
        <v>2580</v>
      </c>
      <c r="D90" s="2">
        <v>426</v>
      </c>
      <c r="E90" s="2">
        <v>15.336</v>
      </c>
      <c r="F90" s="15">
        <v>3.5999999999999997E-2</v>
      </c>
      <c r="G90" s="2">
        <v>168.2316118935837</v>
      </c>
    </row>
    <row r="91" spans="1:7" x14ac:dyDescent="0.45">
      <c r="A91" t="s">
        <v>155</v>
      </c>
      <c r="B91" t="s">
        <v>105</v>
      </c>
      <c r="C91" s="3">
        <v>11020</v>
      </c>
      <c r="D91" s="2">
        <v>386.59500000000003</v>
      </c>
      <c r="E91" s="2">
        <v>0.63900000000000001</v>
      </c>
      <c r="F91" s="15">
        <v>1.6528925619834699E-3</v>
      </c>
      <c r="G91" s="2">
        <v>17245.69640062598</v>
      </c>
    </row>
    <row r="92" spans="1:7" x14ac:dyDescent="0.45">
      <c r="A92" t="s">
        <v>159</v>
      </c>
      <c r="B92" t="s">
        <v>106</v>
      </c>
      <c r="C92" s="3">
        <v>4250</v>
      </c>
      <c r="D92" s="2">
        <v>443.46600000000001</v>
      </c>
      <c r="E92" s="2">
        <v>82.430999999999997</v>
      </c>
      <c r="F92" s="15">
        <v>0.18587896253602301</v>
      </c>
      <c r="G92" s="2">
        <v>51.558272979825553</v>
      </c>
    </row>
    <row r="93" spans="1:7" x14ac:dyDescent="0.45">
      <c r="A93" t="s">
        <v>154</v>
      </c>
      <c r="B93" t="s">
        <v>107</v>
      </c>
      <c r="C93" s="3">
        <v>1075</v>
      </c>
      <c r="D93" s="2">
        <v>273.70499999999998</v>
      </c>
      <c r="E93" s="2">
        <v>13.632</v>
      </c>
      <c r="F93" s="15">
        <v>4.9805447470817103E-2</v>
      </c>
      <c r="G93" s="2">
        <v>78.858568075117375</v>
      </c>
    </row>
    <row r="94" spans="1:7" x14ac:dyDescent="0.45">
      <c r="A94" t="s">
        <v>159</v>
      </c>
      <c r="B94" t="s">
        <v>262</v>
      </c>
      <c r="C94" s="3">
        <v>5195</v>
      </c>
      <c r="D94" s="2">
        <v>104.583</v>
      </c>
      <c r="E94" s="2">
        <v>1.917</v>
      </c>
      <c r="F94" s="15">
        <v>1.83299389002037E-2</v>
      </c>
      <c r="G94" s="2">
        <v>2709.9634846113722</v>
      </c>
    </row>
    <row r="95" spans="1:7" x14ac:dyDescent="0.45">
      <c r="A95" t="s">
        <v>157</v>
      </c>
      <c r="B95" t="s">
        <v>271</v>
      </c>
      <c r="C95" s="3">
        <v>6280</v>
      </c>
      <c r="D95" s="2">
        <v>316.30500000000001</v>
      </c>
      <c r="E95" s="2">
        <v>28.968</v>
      </c>
      <c r="F95" s="15">
        <v>9.1582491582491599E-2</v>
      </c>
      <c r="G95" s="2">
        <v>216.7909417288042</v>
      </c>
    </row>
    <row r="96" spans="1:7" x14ac:dyDescent="0.45">
      <c r="A96" t="s">
        <v>155</v>
      </c>
      <c r="B96" t="s">
        <v>280</v>
      </c>
      <c r="C96" s="3">
        <v>3285</v>
      </c>
      <c r="D96" s="2">
        <v>331.64100000000002</v>
      </c>
      <c r="E96" s="2">
        <v>67.307999999999993</v>
      </c>
      <c r="F96" s="15">
        <v>0.20295439948619101</v>
      </c>
      <c r="G96" s="2">
        <v>48.80549117489749</v>
      </c>
    </row>
    <row r="97" spans="1:7" x14ac:dyDescent="0.45">
      <c r="A97" t="s">
        <v>153</v>
      </c>
      <c r="B97" t="s">
        <v>294</v>
      </c>
      <c r="C97" s="3">
        <v>21760</v>
      </c>
      <c r="D97" s="2">
        <v>711.846</v>
      </c>
      <c r="E97" s="2">
        <v>150.37799999999999</v>
      </c>
      <c r="F97" s="15">
        <v>0.211250748055057</v>
      </c>
      <c r="G97" s="2">
        <v>144.7020175823591</v>
      </c>
    </row>
    <row r="98" spans="1:7" x14ac:dyDescent="0.45">
      <c r="A98" t="s">
        <v>156</v>
      </c>
      <c r="B98" t="s">
        <v>308</v>
      </c>
      <c r="C98" s="3">
        <v>3635</v>
      </c>
      <c r="D98" s="2">
        <v>298.41300000000001</v>
      </c>
      <c r="E98" s="2">
        <v>41.534999999999997</v>
      </c>
      <c r="F98" s="15">
        <v>0.13918629550321199</v>
      </c>
      <c r="G98" s="2">
        <v>87.516552305284705</v>
      </c>
    </row>
    <row r="99" spans="1:7" x14ac:dyDescent="0.45">
      <c r="A99" t="s">
        <v>157</v>
      </c>
      <c r="B99" t="s">
        <v>309</v>
      </c>
      <c r="C99" s="3">
        <v>80</v>
      </c>
      <c r="D99" s="2">
        <v>169.33500000000001</v>
      </c>
      <c r="E99" s="2">
        <v>7.0289999999999999</v>
      </c>
      <c r="F99" s="15">
        <v>4.1509433962264197E-2</v>
      </c>
      <c r="G99" s="2">
        <v>11.38141983212406</v>
      </c>
    </row>
    <row r="100" spans="1:7" x14ac:dyDescent="0.45">
      <c r="A100" t="s">
        <v>157</v>
      </c>
      <c r="B100" t="s">
        <v>313</v>
      </c>
      <c r="C100" s="3">
        <v>5</v>
      </c>
      <c r="D100" s="2">
        <v>157.833</v>
      </c>
      <c r="E100" s="2">
        <v>0.21299999999999999</v>
      </c>
      <c r="F100" s="15">
        <v>1.34952766531714E-3</v>
      </c>
      <c r="G100" s="2">
        <v>23.474178403755872</v>
      </c>
    </row>
    <row r="101" spans="1:7" x14ac:dyDescent="0.45">
      <c r="A101" t="s">
        <v>157</v>
      </c>
      <c r="B101" t="s">
        <v>314</v>
      </c>
      <c r="C101" s="3">
        <v>8110</v>
      </c>
      <c r="D101" s="2">
        <v>456.88499999999999</v>
      </c>
      <c r="E101" s="2">
        <v>1.278</v>
      </c>
      <c r="F101" s="15">
        <v>2.7972027972027998E-3</v>
      </c>
      <c r="G101" s="2">
        <v>6345.8528951486696</v>
      </c>
    </row>
    <row r="102" spans="1:7" x14ac:dyDescent="0.45">
      <c r="A102" t="s">
        <v>157</v>
      </c>
      <c r="B102" t="s">
        <v>316</v>
      </c>
      <c r="C102" s="3">
        <v>7500</v>
      </c>
      <c r="D102" s="2">
        <v>616.42200000000003</v>
      </c>
      <c r="E102" s="2">
        <v>91.802999999999997</v>
      </c>
      <c r="F102" s="15">
        <v>0.14892881824464399</v>
      </c>
      <c r="G102" s="2">
        <v>81.696676579196762</v>
      </c>
    </row>
    <row r="103" spans="1:7" x14ac:dyDescent="0.45">
      <c r="A103" t="s">
        <v>159</v>
      </c>
      <c r="B103" t="s">
        <v>327</v>
      </c>
      <c r="C103" s="3">
        <v>5390</v>
      </c>
      <c r="D103" s="2">
        <v>259.43400000000003</v>
      </c>
      <c r="E103" s="2">
        <v>1.0649999999999999</v>
      </c>
      <c r="F103" s="15">
        <v>4.1050903119868604E-3</v>
      </c>
      <c r="G103" s="2">
        <v>5061.0328638497658</v>
      </c>
    </row>
    <row r="104" spans="1:7" x14ac:dyDescent="0.45">
      <c r="A104" t="s">
        <v>165</v>
      </c>
      <c r="B104" t="s">
        <v>123</v>
      </c>
      <c r="C104" s="3">
        <v>4690</v>
      </c>
      <c r="D104" s="2">
        <v>140.79300000000001</v>
      </c>
      <c r="E104" s="2">
        <v>42.6</v>
      </c>
      <c r="F104" s="15">
        <v>0.30257186081694398</v>
      </c>
      <c r="G104" s="2">
        <v>110.093896713615</v>
      </c>
    </row>
    <row r="105" spans="1:7" x14ac:dyDescent="0.45">
      <c r="A105" t="s">
        <v>157</v>
      </c>
      <c r="B105" t="s">
        <v>124</v>
      </c>
      <c r="C105" s="3">
        <v>11755</v>
      </c>
      <c r="D105" s="2">
        <v>608.11500000000001</v>
      </c>
      <c r="E105" s="2">
        <v>31.524000000000001</v>
      </c>
      <c r="F105" s="15">
        <v>5.1838879159369501E-2</v>
      </c>
      <c r="G105" s="2">
        <v>372.89049612993273</v>
      </c>
    </row>
    <row r="106" spans="1:7" x14ac:dyDescent="0.45">
      <c r="A106" t="s">
        <v>155</v>
      </c>
      <c r="B106" t="s">
        <v>125</v>
      </c>
      <c r="C106" s="3">
        <v>21960</v>
      </c>
      <c r="D106" s="2">
        <v>974.26199999999994</v>
      </c>
      <c r="E106" s="2">
        <v>60.491999999999997</v>
      </c>
      <c r="F106" s="15">
        <v>6.2090074333187598E-2</v>
      </c>
      <c r="G106" s="2">
        <v>363.02320968061889</v>
      </c>
    </row>
    <row r="107" spans="1:7" x14ac:dyDescent="0.45">
      <c r="A107" t="s">
        <v>154</v>
      </c>
      <c r="B107" t="s">
        <v>126</v>
      </c>
      <c r="C107" s="3">
        <v>12615</v>
      </c>
      <c r="D107" s="2">
        <v>464.34</v>
      </c>
      <c r="E107" s="2">
        <v>89.033999999999992</v>
      </c>
      <c r="F107" s="15">
        <v>0.191743119266055</v>
      </c>
      <c r="G107" s="2">
        <v>141.6874452456365</v>
      </c>
    </row>
    <row r="108" spans="1:7" x14ac:dyDescent="0.45">
      <c r="A108" t="s">
        <v>157</v>
      </c>
      <c r="B108" t="s">
        <v>127</v>
      </c>
      <c r="C108" s="3">
        <v>24270</v>
      </c>
      <c r="D108" s="2">
        <v>1456.7070000000001</v>
      </c>
      <c r="E108" s="2">
        <v>129.50399999999999</v>
      </c>
      <c r="F108" s="15">
        <v>8.8901886240678504E-2</v>
      </c>
      <c r="G108" s="2">
        <v>187.4073387694589</v>
      </c>
    </row>
    <row r="109" spans="1:7" x14ac:dyDescent="0.45">
      <c r="A109" t="s">
        <v>165</v>
      </c>
      <c r="B109" t="s">
        <v>128</v>
      </c>
      <c r="C109" s="3">
        <v>8390</v>
      </c>
      <c r="D109" s="2">
        <v>721.64400000000001</v>
      </c>
      <c r="E109" s="2">
        <v>177.21600000000001</v>
      </c>
      <c r="F109" s="15">
        <v>0.245572609208973</v>
      </c>
      <c r="G109" s="2">
        <v>47.343355001805698</v>
      </c>
    </row>
    <row r="110" spans="1:7" x14ac:dyDescent="0.45">
      <c r="A110" t="s">
        <v>157</v>
      </c>
      <c r="B110" t="s">
        <v>129</v>
      </c>
      <c r="C110" s="3">
        <v>16360</v>
      </c>
      <c r="D110" s="2">
        <v>990.44999999999993</v>
      </c>
      <c r="E110" s="2">
        <v>83.283000000000001</v>
      </c>
      <c r="F110" s="15">
        <v>8.4086021505376404E-2</v>
      </c>
      <c r="G110" s="2">
        <v>196.43864894396219</v>
      </c>
    </row>
    <row r="111" spans="1:7" x14ac:dyDescent="0.45">
      <c r="A111" t="s">
        <v>165</v>
      </c>
      <c r="B111" t="s">
        <v>130</v>
      </c>
      <c r="C111" s="3">
        <v>7870</v>
      </c>
      <c r="D111" s="2">
        <v>529.09199999999998</v>
      </c>
      <c r="E111" s="2">
        <v>2.343</v>
      </c>
      <c r="F111" s="15">
        <v>4.4283413848631202E-3</v>
      </c>
      <c r="G111" s="2">
        <v>3358.9415279556119</v>
      </c>
    </row>
    <row r="112" spans="1:7" x14ac:dyDescent="0.45">
      <c r="A112" t="s">
        <v>165</v>
      </c>
      <c r="B112" t="s">
        <v>131</v>
      </c>
      <c r="C112" s="3">
        <v>9990</v>
      </c>
      <c r="D112" s="2">
        <v>531.00900000000001</v>
      </c>
      <c r="E112" s="2">
        <v>61.344000000000001</v>
      </c>
      <c r="F112" s="15">
        <v>0.115523465703971</v>
      </c>
      <c r="G112" s="2">
        <v>162.85211267605629</v>
      </c>
    </row>
    <row r="113" spans="1:7" x14ac:dyDescent="0.45">
      <c r="A113" t="s">
        <v>154</v>
      </c>
      <c r="B113" t="s">
        <v>132</v>
      </c>
      <c r="C113" s="3">
        <v>16045</v>
      </c>
      <c r="D113" s="2">
        <v>669.03300000000002</v>
      </c>
      <c r="E113" s="2">
        <v>51.545999999999999</v>
      </c>
      <c r="F113" s="15">
        <v>7.7045526902260394E-2</v>
      </c>
      <c r="G113" s="2">
        <v>311.27536569277919</v>
      </c>
    </row>
    <row r="114" spans="1:7" x14ac:dyDescent="0.45">
      <c r="A114" t="s">
        <v>157</v>
      </c>
      <c r="B114" t="s">
        <v>133</v>
      </c>
      <c r="C114" s="3">
        <v>12250</v>
      </c>
      <c r="D114" s="2">
        <v>767.226</v>
      </c>
      <c r="E114" s="2">
        <v>162.51900000000001</v>
      </c>
      <c r="F114" s="15">
        <v>0.21182676290949501</v>
      </c>
      <c r="G114" s="2">
        <v>75.375802213894985</v>
      </c>
    </row>
    <row r="115" spans="1:7" x14ac:dyDescent="0.45">
      <c r="A115" t="s">
        <v>157</v>
      </c>
      <c r="B115" t="s">
        <v>134</v>
      </c>
      <c r="C115" s="3">
        <v>13365</v>
      </c>
      <c r="D115" s="2">
        <v>1820.511</v>
      </c>
      <c r="E115" s="2">
        <v>468.17399999999998</v>
      </c>
      <c r="F115" s="15">
        <v>0.25716625716625702</v>
      </c>
      <c r="G115" s="2">
        <v>28.547078650245421</v>
      </c>
    </row>
    <row r="116" spans="1:7" x14ac:dyDescent="0.45">
      <c r="A116" t="s">
        <v>159</v>
      </c>
      <c r="B116" t="s">
        <v>135</v>
      </c>
      <c r="C116" s="3">
        <v>5035</v>
      </c>
      <c r="D116" s="2">
        <v>291.59699999999998</v>
      </c>
      <c r="E116" s="2">
        <v>2.9820000000000002</v>
      </c>
      <c r="F116" s="15">
        <v>1.0226442658875101E-2</v>
      </c>
      <c r="G116" s="2">
        <v>1688.4641180415831</v>
      </c>
    </row>
    <row r="117" spans="1:7" x14ac:dyDescent="0.45">
      <c r="A117" t="s">
        <v>157</v>
      </c>
      <c r="B117" t="s">
        <v>136</v>
      </c>
      <c r="C117" s="3">
        <v>17595</v>
      </c>
      <c r="D117" s="2">
        <v>819.19799999999998</v>
      </c>
      <c r="E117" s="2">
        <v>82.218000000000004</v>
      </c>
      <c r="F117" s="15">
        <v>0.100364014560582</v>
      </c>
      <c r="G117" s="2">
        <v>214.00423264978471</v>
      </c>
    </row>
    <row r="118" spans="1:7" x14ac:dyDescent="0.45">
      <c r="A118" t="s">
        <v>157</v>
      </c>
      <c r="B118" t="s">
        <v>137</v>
      </c>
      <c r="C118" s="3">
        <v>5215</v>
      </c>
      <c r="D118" s="2">
        <v>518.01599999999996</v>
      </c>
      <c r="E118" s="2">
        <v>15.122999999999999</v>
      </c>
      <c r="F118" s="15">
        <v>2.9194078947368401E-2</v>
      </c>
      <c r="G118" s="2">
        <v>344.83898697348411</v>
      </c>
    </row>
    <row r="119" spans="1:7" x14ac:dyDescent="0.45">
      <c r="A119" t="s">
        <v>159</v>
      </c>
      <c r="B119" t="s">
        <v>138</v>
      </c>
      <c r="C119" s="3">
        <v>3635</v>
      </c>
      <c r="D119" s="2">
        <v>460.50599999999997</v>
      </c>
      <c r="E119" s="2">
        <v>0.63900000000000001</v>
      </c>
      <c r="F119" s="15">
        <v>1.38760407030527E-3</v>
      </c>
      <c r="G119" s="2">
        <v>5688.5758998435058</v>
      </c>
    </row>
    <row r="120" spans="1:7" x14ac:dyDescent="0.45">
      <c r="A120" t="s">
        <v>156</v>
      </c>
      <c r="B120" t="s">
        <v>139</v>
      </c>
      <c r="C120" s="3">
        <v>4025</v>
      </c>
      <c r="D120" s="2">
        <v>466.68299999999999</v>
      </c>
      <c r="E120" s="2">
        <v>38.978999999999999</v>
      </c>
      <c r="F120" s="15">
        <v>8.3523505248744898E-2</v>
      </c>
      <c r="G120" s="2">
        <v>103.26073013674031</v>
      </c>
    </row>
    <row r="121" spans="1:7" x14ac:dyDescent="0.45">
      <c r="A121" t="s">
        <v>156</v>
      </c>
      <c r="B121" t="s">
        <v>140</v>
      </c>
      <c r="C121" s="3">
        <v>4080</v>
      </c>
      <c r="D121" s="2">
        <v>238.56</v>
      </c>
      <c r="E121" s="2">
        <v>51.12</v>
      </c>
      <c r="F121" s="15">
        <v>0.214285714285714</v>
      </c>
      <c r="G121" s="2">
        <v>79.812206572769952</v>
      </c>
    </row>
    <row r="122" spans="1:7" x14ac:dyDescent="0.45">
      <c r="A122" t="s">
        <v>155</v>
      </c>
      <c r="B122" t="s">
        <v>141</v>
      </c>
      <c r="C122" s="3">
        <v>4035</v>
      </c>
      <c r="D122" s="2">
        <v>261.77699999999999</v>
      </c>
      <c r="E122" s="2">
        <v>4.26</v>
      </c>
      <c r="F122" s="15">
        <v>1.6273393002440999E-2</v>
      </c>
      <c r="G122" s="2">
        <v>947.18309859154931</v>
      </c>
    </row>
    <row r="123" spans="1:7" x14ac:dyDescent="0.45">
      <c r="A123" t="s">
        <v>159</v>
      </c>
      <c r="B123" t="s">
        <v>142</v>
      </c>
      <c r="C123" s="3">
        <v>5130</v>
      </c>
      <c r="D123" s="2">
        <v>291.81</v>
      </c>
      <c r="E123" s="2">
        <v>7.4550000000000001</v>
      </c>
      <c r="F123" s="15">
        <v>2.5547445255474501E-2</v>
      </c>
      <c r="G123" s="2">
        <v>688.12877263581493</v>
      </c>
    </row>
    <row r="124" spans="1:7" x14ac:dyDescent="0.45">
      <c r="A124" t="s">
        <v>157</v>
      </c>
      <c r="B124" t="s">
        <v>143</v>
      </c>
      <c r="C124" s="3">
        <v>5710</v>
      </c>
      <c r="D124" s="2">
        <v>274.983</v>
      </c>
      <c r="E124" s="2">
        <v>48.99</v>
      </c>
      <c r="F124" s="15">
        <v>0.178156467854376</v>
      </c>
      <c r="G124" s="2">
        <v>116.5543988569096</v>
      </c>
    </row>
    <row r="125" spans="1:7" x14ac:dyDescent="0.45">
      <c r="A125" t="s">
        <v>159</v>
      </c>
      <c r="B125" t="s">
        <v>337</v>
      </c>
      <c r="C125" s="3">
        <v>5640</v>
      </c>
      <c r="D125" s="2">
        <v>413.64600000000002</v>
      </c>
      <c r="E125" s="2">
        <v>9.5849999999999991</v>
      </c>
      <c r="F125" s="15">
        <v>2.3171987641606599E-2</v>
      </c>
      <c r="G125" s="2">
        <v>588.41940532081378</v>
      </c>
    </row>
    <row r="126" spans="1:7" x14ac:dyDescent="0.45">
      <c r="A126" t="s">
        <v>157</v>
      </c>
      <c r="B126" t="s">
        <v>145</v>
      </c>
      <c r="C126" s="3">
        <v>4210</v>
      </c>
      <c r="D126" s="2">
        <v>174.02099999999999</v>
      </c>
      <c r="E126" s="2">
        <v>10.65</v>
      </c>
      <c r="F126" s="15">
        <v>6.1199510403916801E-2</v>
      </c>
      <c r="G126" s="2">
        <v>395.30516431924877</v>
      </c>
    </row>
    <row r="127" spans="1:7" x14ac:dyDescent="0.45">
      <c r="A127" t="s">
        <v>153</v>
      </c>
      <c r="B127" t="s">
        <v>146</v>
      </c>
      <c r="C127" s="3">
        <v>5625</v>
      </c>
      <c r="D127" s="2">
        <v>701.62199999999996</v>
      </c>
      <c r="E127" s="2">
        <v>233.661</v>
      </c>
      <c r="F127" s="15">
        <v>0.33302975106253802</v>
      </c>
      <c r="G127" s="2">
        <v>24.07333701387908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4"/>
  <sheetViews>
    <sheetView workbookViewId="0">
      <selection activeCell="B13" sqref="B13"/>
    </sheetView>
  </sheetViews>
  <sheetFormatPr defaultRowHeight="14.25" x14ac:dyDescent="0.45"/>
  <cols>
    <col min="1" max="1" width="38.86328125" bestFit="1" customWidth="1"/>
    <col min="2" max="2" width="59.33203125" bestFit="1" customWidth="1"/>
    <col min="3" max="3" width="11.73046875" style="3" customWidth="1"/>
    <col min="4" max="4" width="27.265625" style="2" customWidth="1"/>
    <col min="6" max="6" width="24.9296875" customWidth="1"/>
    <col min="7" max="7" width="14.73046875" customWidth="1"/>
    <col min="8" max="8" width="15" customWidth="1"/>
    <col min="9" max="9" width="14.3984375" customWidth="1"/>
  </cols>
  <sheetData>
    <row r="1" spans="1:8" x14ac:dyDescent="0.45">
      <c r="A1" s="12" t="s">
        <v>148</v>
      </c>
      <c r="B1" s="12" t="s">
        <v>332</v>
      </c>
      <c r="C1" s="14" t="s">
        <v>1</v>
      </c>
      <c r="D1" s="13" t="s">
        <v>333</v>
      </c>
      <c r="E1" s="12" t="s">
        <v>338</v>
      </c>
      <c r="F1" s="12" t="s">
        <v>339</v>
      </c>
      <c r="G1" s="12" t="s">
        <v>340</v>
      </c>
      <c r="H1" s="12" t="s">
        <v>341</v>
      </c>
    </row>
    <row r="2" spans="1:8" x14ac:dyDescent="0.45">
      <c r="A2" t="s">
        <v>153</v>
      </c>
      <c r="B2" t="s">
        <v>2</v>
      </c>
      <c r="C2" s="3">
        <v>1410</v>
      </c>
      <c r="D2" s="2">
        <v>95.592504003313223</v>
      </c>
      <c r="E2">
        <v>601.79257362355952</v>
      </c>
      <c r="F2">
        <v>89</v>
      </c>
      <c r="G2">
        <v>112</v>
      </c>
      <c r="H2">
        <v>201</v>
      </c>
    </row>
    <row r="3" spans="1:8" x14ac:dyDescent="0.45">
      <c r="A3" t="s">
        <v>154</v>
      </c>
      <c r="B3" t="s">
        <v>5</v>
      </c>
      <c r="C3" s="3">
        <v>4345</v>
      </c>
      <c r="D3" s="2">
        <v>154.18516981120311</v>
      </c>
      <c r="E3">
        <v>149.99309582988121</v>
      </c>
      <c r="F3">
        <v>55</v>
      </c>
      <c r="G3">
        <v>80</v>
      </c>
      <c r="H3">
        <v>135</v>
      </c>
    </row>
    <row r="4" spans="1:8" x14ac:dyDescent="0.45">
      <c r="A4" t="s">
        <v>155</v>
      </c>
      <c r="B4" t="s">
        <v>336</v>
      </c>
      <c r="C4" s="3">
        <v>11745</v>
      </c>
      <c r="D4" s="2">
        <v>222.37212439254961</v>
      </c>
      <c r="E4">
        <v>375.10778959471111</v>
      </c>
      <c r="F4">
        <v>78</v>
      </c>
      <c r="G4">
        <v>25</v>
      </c>
      <c r="H4">
        <v>103</v>
      </c>
    </row>
    <row r="5" spans="1:8" x14ac:dyDescent="0.45">
      <c r="A5" t="s">
        <v>155</v>
      </c>
      <c r="B5" t="s">
        <v>8</v>
      </c>
      <c r="C5" s="3">
        <v>14190</v>
      </c>
      <c r="D5" s="2">
        <v>116.493379805591</v>
      </c>
      <c r="E5">
        <v>31.723675385647219</v>
      </c>
      <c r="F5">
        <v>15</v>
      </c>
      <c r="G5">
        <v>106</v>
      </c>
      <c r="H5">
        <v>121</v>
      </c>
    </row>
    <row r="6" spans="1:8" x14ac:dyDescent="0.45">
      <c r="A6" t="s">
        <v>156</v>
      </c>
      <c r="B6" t="s">
        <v>9</v>
      </c>
      <c r="C6" s="3">
        <v>11010</v>
      </c>
      <c r="D6" s="2">
        <v>209.6822742707507</v>
      </c>
      <c r="E6">
        <v>141.61682423306971</v>
      </c>
      <c r="F6">
        <v>50</v>
      </c>
      <c r="G6">
        <v>33</v>
      </c>
      <c r="H6">
        <v>83</v>
      </c>
    </row>
    <row r="7" spans="1:8" x14ac:dyDescent="0.45">
      <c r="A7" t="s">
        <v>157</v>
      </c>
      <c r="B7" t="s">
        <v>10</v>
      </c>
      <c r="C7" s="3">
        <v>4145</v>
      </c>
      <c r="D7" s="2">
        <v>146.9064809333322</v>
      </c>
      <c r="E7">
        <v>353.81988903115672</v>
      </c>
      <c r="F7">
        <v>74</v>
      </c>
      <c r="G7">
        <v>86</v>
      </c>
      <c r="H7">
        <v>160</v>
      </c>
    </row>
    <row r="8" spans="1:8" x14ac:dyDescent="0.45">
      <c r="A8" t="s">
        <v>159</v>
      </c>
      <c r="B8" t="s">
        <v>11</v>
      </c>
      <c r="C8" s="3">
        <v>4635</v>
      </c>
      <c r="D8" s="2">
        <v>168.0196638726662</v>
      </c>
      <c r="E8">
        <v>298.08990931892731</v>
      </c>
      <c r="F8">
        <v>69</v>
      </c>
      <c r="G8">
        <v>71</v>
      </c>
      <c r="H8">
        <v>140</v>
      </c>
    </row>
    <row r="9" spans="1:8" x14ac:dyDescent="0.45">
      <c r="A9" t="s">
        <v>159</v>
      </c>
      <c r="B9" t="s">
        <v>12</v>
      </c>
      <c r="C9" s="3">
        <v>2995</v>
      </c>
      <c r="D9" s="2">
        <v>118.59002351527219</v>
      </c>
      <c r="E9">
        <v>669.57299351665552</v>
      </c>
      <c r="F9">
        <v>90</v>
      </c>
      <c r="G9">
        <v>104</v>
      </c>
      <c r="H9">
        <v>194</v>
      </c>
    </row>
    <row r="10" spans="1:8" x14ac:dyDescent="0.45">
      <c r="A10" t="s">
        <v>153</v>
      </c>
      <c r="B10" t="s">
        <v>13</v>
      </c>
      <c r="C10" s="3">
        <v>4765</v>
      </c>
      <c r="D10" s="2">
        <v>145.73048180137991</v>
      </c>
      <c r="E10">
        <v>372.84820031298898</v>
      </c>
      <c r="F10">
        <v>76</v>
      </c>
      <c r="G10">
        <v>88</v>
      </c>
      <c r="H10">
        <v>164</v>
      </c>
    </row>
    <row r="11" spans="1:8" x14ac:dyDescent="0.45">
      <c r="A11" t="s">
        <v>154</v>
      </c>
      <c r="B11" t="s">
        <v>14</v>
      </c>
      <c r="C11" s="3">
        <v>6520</v>
      </c>
      <c r="D11" s="2">
        <v>200.99450028669091</v>
      </c>
      <c r="E11">
        <v>71.686952314982804</v>
      </c>
      <c r="F11">
        <v>32</v>
      </c>
      <c r="G11">
        <v>36</v>
      </c>
      <c r="H11">
        <v>68</v>
      </c>
    </row>
    <row r="12" spans="1:8" x14ac:dyDescent="0.45">
      <c r="A12" t="s">
        <v>153</v>
      </c>
      <c r="B12" t="s">
        <v>15</v>
      </c>
      <c r="C12" s="3">
        <v>5060</v>
      </c>
      <c r="D12" s="2">
        <v>171.40146671628841</v>
      </c>
      <c r="E12">
        <v>111.0087315168268</v>
      </c>
      <c r="F12">
        <v>46</v>
      </c>
      <c r="G12">
        <v>66</v>
      </c>
      <c r="H12">
        <v>112</v>
      </c>
    </row>
    <row r="13" spans="1:8" x14ac:dyDescent="0.45">
      <c r="A13" t="s">
        <v>156</v>
      </c>
      <c r="B13" t="s">
        <v>16</v>
      </c>
      <c r="C13" s="3">
        <v>11375</v>
      </c>
      <c r="D13" s="2">
        <v>162.26654154442369</v>
      </c>
      <c r="E13">
        <v>675.99690972841256</v>
      </c>
      <c r="F13">
        <v>91</v>
      </c>
      <c r="G13">
        <v>73</v>
      </c>
      <c r="H13">
        <v>164</v>
      </c>
    </row>
    <row r="14" spans="1:8" x14ac:dyDescent="0.45">
      <c r="A14" t="s">
        <v>155</v>
      </c>
      <c r="B14" t="s">
        <v>17</v>
      </c>
      <c r="C14" s="3">
        <v>7015</v>
      </c>
      <c r="D14" s="2">
        <v>121.8055150911631</v>
      </c>
      <c r="E14">
        <v>392.07467024368441</v>
      </c>
      <c r="F14">
        <v>79</v>
      </c>
      <c r="G14">
        <v>102</v>
      </c>
      <c r="H14">
        <v>181</v>
      </c>
    </row>
    <row r="15" spans="1:8" x14ac:dyDescent="0.45">
      <c r="A15" t="s">
        <v>157</v>
      </c>
      <c r="B15" t="s">
        <v>18</v>
      </c>
      <c r="C15" s="3">
        <v>3465</v>
      </c>
      <c r="D15" s="2">
        <v>175.71940912796859</v>
      </c>
      <c r="E15">
        <v>301.25195618153361</v>
      </c>
      <c r="F15">
        <v>70</v>
      </c>
      <c r="G15">
        <v>62</v>
      </c>
      <c r="H15">
        <v>132</v>
      </c>
    </row>
    <row r="16" spans="1:8" x14ac:dyDescent="0.45">
      <c r="A16" t="s">
        <v>159</v>
      </c>
      <c r="B16" t="s">
        <v>21</v>
      </c>
      <c r="C16" s="3">
        <v>3440</v>
      </c>
      <c r="D16" s="2">
        <v>157.7930459218334</v>
      </c>
      <c r="E16">
        <v>2018.7793427230049</v>
      </c>
      <c r="F16">
        <v>107</v>
      </c>
      <c r="G16">
        <v>78</v>
      </c>
      <c r="H16">
        <v>185</v>
      </c>
    </row>
    <row r="17" spans="1:8" x14ac:dyDescent="0.45">
      <c r="A17" t="s">
        <v>153</v>
      </c>
      <c r="B17" t="s">
        <v>22</v>
      </c>
      <c r="C17" s="3">
        <v>7110</v>
      </c>
      <c r="D17" s="2">
        <v>192.10057293424481</v>
      </c>
      <c r="E17">
        <v>2567.7139761646799</v>
      </c>
      <c r="F17">
        <v>109</v>
      </c>
      <c r="G17">
        <v>41</v>
      </c>
      <c r="H17">
        <v>150</v>
      </c>
    </row>
    <row r="18" spans="1:8" x14ac:dyDescent="0.45">
      <c r="A18" t="s">
        <v>155</v>
      </c>
      <c r="B18" t="s">
        <v>23</v>
      </c>
      <c r="C18" s="3">
        <v>4300</v>
      </c>
      <c r="D18" s="2">
        <v>183.23622907119471</v>
      </c>
      <c r="E18">
        <v>10093.89671361502</v>
      </c>
      <c r="F18">
        <v>120</v>
      </c>
      <c r="G18">
        <v>53</v>
      </c>
      <c r="H18">
        <v>173</v>
      </c>
    </row>
    <row r="19" spans="1:8" x14ac:dyDescent="0.45">
      <c r="A19" t="s">
        <v>154</v>
      </c>
      <c r="B19" t="s">
        <v>24</v>
      </c>
      <c r="C19" s="3">
        <v>5825</v>
      </c>
      <c r="D19" s="2">
        <v>238.42704233137329</v>
      </c>
      <c r="E19">
        <v>3906.7739771965121</v>
      </c>
      <c r="F19">
        <v>113</v>
      </c>
      <c r="G19">
        <v>19</v>
      </c>
      <c r="H19">
        <v>132</v>
      </c>
    </row>
    <row r="20" spans="1:8" x14ac:dyDescent="0.45">
      <c r="A20" t="s">
        <v>153</v>
      </c>
      <c r="B20" t="s">
        <v>25</v>
      </c>
      <c r="C20" s="3">
        <v>4705</v>
      </c>
      <c r="D20" s="2">
        <v>158.93785927340721</v>
      </c>
      <c r="E20">
        <v>168.61986166362041</v>
      </c>
      <c r="F20">
        <v>59</v>
      </c>
      <c r="G20">
        <v>76</v>
      </c>
      <c r="H20">
        <v>135</v>
      </c>
    </row>
    <row r="21" spans="1:8" x14ac:dyDescent="0.45">
      <c r="A21" t="s">
        <v>165</v>
      </c>
      <c r="B21" t="s">
        <v>26</v>
      </c>
      <c r="C21" s="3">
        <v>1915</v>
      </c>
      <c r="D21" s="2">
        <v>116.5831515729663</v>
      </c>
      <c r="E21">
        <v>147.38705456784419</v>
      </c>
      <c r="F21">
        <v>54</v>
      </c>
      <c r="G21">
        <v>105</v>
      </c>
      <c r="H21">
        <v>159</v>
      </c>
    </row>
    <row r="22" spans="1:8" x14ac:dyDescent="0.45">
      <c r="A22" t="s">
        <v>159</v>
      </c>
      <c r="B22" t="s">
        <v>27</v>
      </c>
      <c r="C22" s="3">
        <v>2410</v>
      </c>
      <c r="D22" s="2">
        <v>209.12181928989199</v>
      </c>
      <c r="E22">
        <v>5657.2769953051647</v>
      </c>
      <c r="F22">
        <v>117</v>
      </c>
      <c r="G22">
        <v>34</v>
      </c>
      <c r="H22">
        <v>151</v>
      </c>
    </row>
    <row r="23" spans="1:8" x14ac:dyDescent="0.45">
      <c r="A23" t="s">
        <v>154</v>
      </c>
      <c r="B23" t="s">
        <v>28</v>
      </c>
      <c r="C23" s="3">
        <v>18950</v>
      </c>
      <c r="D23" s="2">
        <v>368.69734000461369</v>
      </c>
      <c r="E23">
        <v>104.1769744147948</v>
      </c>
      <c r="F23">
        <v>44</v>
      </c>
      <c r="G23">
        <v>2</v>
      </c>
      <c r="H23">
        <v>46</v>
      </c>
    </row>
    <row r="24" spans="1:8" x14ac:dyDescent="0.45">
      <c r="A24" t="s">
        <v>156</v>
      </c>
      <c r="B24" t="s">
        <v>30</v>
      </c>
      <c r="C24" s="3">
        <v>11920</v>
      </c>
      <c r="D24" s="2">
        <v>227.77989000191249</v>
      </c>
      <c r="E24">
        <v>440.64914420908661</v>
      </c>
      <c r="F24">
        <v>83</v>
      </c>
      <c r="G24">
        <v>23</v>
      </c>
      <c r="H24">
        <v>106</v>
      </c>
    </row>
    <row r="25" spans="1:8" x14ac:dyDescent="0.45">
      <c r="A25" t="s">
        <v>154</v>
      </c>
      <c r="B25" t="s">
        <v>31</v>
      </c>
      <c r="C25" s="3">
        <v>8625</v>
      </c>
      <c r="D25" s="2">
        <v>279.96259733763912</v>
      </c>
      <c r="E25">
        <v>99.24744545705606</v>
      </c>
      <c r="F25">
        <v>41</v>
      </c>
      <c r="G25">
        <v>12</v>
      </c>
      <c r="H25">
        <v>53</v>
      </c>
    </row>
    <row r="26" spans="1:8" x14ac:dyDescent="0.45">
      <c r="A26" t="s">
        <v>156</v>
      </c>
      <c r="B26" t="s">
        <v>32</v>
      </c>
      <c r="C26" s="3">
        <v>4390</v>
      </c>
      <c r="D26" s="2">
        <v>113.9542429930916</v>
      </c>
      <c r="E26">
        <v>20.068479686949999</v>
      </c>
      <c r="F26">
        <v>7</v>
      </c>
      <c r="G26">
        <v>110</v>
      </c>
      <c r="H26">
        <v>117</v>
      </c>
    </row>
    <row r="27" spans="1:8" x14ac:dyDescent="0.45">
      <c r="A27" t="s">
        <v>155</v>
      </c>
      <c r="B27" t="s">
        <v>33</v>
      </c>
      <c r="C27" s="3">
        <v>6115</v>
      </c>
      <c r="D27" s="2">
        <v>177.02880089921021</v>
      </c>
      <c r="E27">
        <v>755.4978996787745</v>
      </c>
      <c r="F27">
        <v>94</v>
      </c>
      <c r="G27">
        <v>60</v>
      </c>
      <c r="H27">
        <v>154</v>
      </c>
    </row>
    <row r="28" spans="1:8" x14ac:dyDescent="0.45">
      <c r="A28" t="s">
        <v>154</v>
      </c>
      <c r="B28" t="s">
        <v>34</v>
      </c>
      <c r="C28" s="3">
        <v>8145</v>
      </c>
      <c r="D28" s="2">
        <v>149.33482814434331</v>
      </c>
      <c r="E28">
        <v>695.26248399487838</v>
      </c>
      <c r="F28">
        <v>93</v>
      </c>
      <c r="G28">
        <v>83</v>
      </c>
      <c r="H28">
        <v>176</v>
      </c>
    </row>
    <row r="29" spans="1:8" x14ac:dyDescent="0.45">
      <c r="A29" t="s">
        <v>153</v>
      </c>
      <c r="B29" t="s">
        <v>35</v>
      </c>
      <c r="C29" s="3">
        <v>1645</v>
      </c>
      <c r="D29" s="2">
        <v>82.782479974577527</v>
      </c>
      <c r="E29">
        <v>2574.3348982785601</v>
      </c>
      <c r="F29">
        <v>110</v>
      </c>
      <c r="G29">
        <v>114</v>
      </c>
      <c r="H29">
        <v>224</v>
      </c>
    </row>
    <row r="30" spans="1:8" x14ac:dyDescent="0.45">
      <c r="A30" t="s">
        <v>157</v>
      </c>
      <c r="B30" t="s">
        <v>36</v>
      </c>
      <c r="C30" s="3">
        <v>3030</v>
      </c>
      <c r="D30" s="2">
        <v>185.7847898195817</v>
      </c>
      <c r="E30">
        <v>1293.2138284250959</v>
      </c>
      <c r="F30">
        <v>102</v>
      </c>
      <c r="G30">
        <v>49</v>
      </c>
      <c r="H30">
        <v>151</v>
      </c>
    </row>
    <row r="31" spans="1:8" x14ac:dyDescent="0.45">
      <c r="A31" t="s">
        <v>165</v>
      </c>
      <c r="B31" t="s">
        <v>37</v>
      </c>
      <c r="C31" s="3">
        <v>5385</v>
      </c>
      <c r="D31" s="2">
        <v>130.27038674721089</v>
      </c>
      <c r="E31">
        <v>54.136381457912357</v>
      </c>
      <c r="F31">
        <v>24</v>
      </c>
      <c r="G31">
        <v>97</v>
      </c>
      <c r="H31">
        <v>121</v>
      </c>
    </row>
    <row r="32" spans="1:8" x14ac:dyDescent="0.45">
      <c r="A32" t="s">
        <v>155</v>
      </c>
      <c r="B32" t="s">
        <v>38</v>
      </c>
      <c r="C32" s="3">
        <v>3805</v>
      </c>
      <c r="D32" s="2">
        <v>124.5664248906584</v>
      </c>
      <c r="E32">
        <v>34.958610108137407</v>
      </c>
      <c r="F32">
        <v>16</v>
      </c>
      <c r="G32">
        <v>101</v>
      </c>
      <c r="H32">
        <v>117</v>
      </c>
    </row>
    <row r="33" spans="1:8" x14ac:dyDescent="0.45">
      <c r="A33" t="s">
        <v>155</v>
      </c>
      <c r="B33" t="s">
        <v>40</v>
      </c>
      <c r="C33" s="3">
        <v>14035</v>
      </c>
      <c r="D33" s="2">
        <v>114.4938711101707</v>
      </c>
      <c r="E33">
        <v>54.864295403282867</v>
      </c>
      <c r="F33">
        <v>25</v>
      </c>
      <c r="G33">
        <v>109</v>
      </c>
      <c r="H33">
        <v>134</v>
      </c>
    </row>
    <row r="34" spans="1:8" x14ac:dyDescent="0.45">
      <c r="A34" t="s">
        <v>154</v>
      </c>
      <c r="B34" t="s">
        <v>41</v>
      </c>
      <c r="C34" s="3">
        <v>5735</v>
      </c>
      <c r="D34" s="2">
        <v>146.13193574687409</v>
      </c>
      <c r="E34">
        <v>17.03028629292092</v>
      </c>
      <c r="F34">
        <v>6</v>
      </c>
      <c r="G34">
        <v>87</v>
      </c>
      <c r="H34">
        <v>93</v>
      </c>
    </row>
    <row r="35" spans="1:8" x14ac:dyDescent="0.45">
      <c r="A35" t="s">
        <v>154</v>
      </c>
      <c r="B35" t="s">
        <v>42</v>
      </c>
      <c r="C35" s="3">
        <v>1715</v>
      </c>
      <c r="D35" s="2">
        <v>109.8335477880822</v>
      </c>
      <c r="E35">
        <v>805.16431924882636</v>
      </c>
      <c r="F35">
        <v>96</v>
      </c>
      <c r="G35">
        <v>111</v>
      </c>
      <c r="H35">
        <v>207</v>
      </c>
    </row>
    <row r="36" spans="1:8" x14ac:dyDescent="0.45">
      <c r="A36" t="s">
        <v>153</v>
      </c>
      <c r="B36" t="s">
        <v>43</v>
      </c>
      <c r="C36" s="3">
        <v>1990</v>
      </c>
      <c r="D36" s="2">
        <v>119.33363781537579</v>
      </c>
      <c r="E36">
        <v>14.92447764328249</v>
      </c>
      <c r="F36">
        <v>5</v>
      </c>
      <c r="G36">
        <v>103</v>
      </c>
      <c r="H36">
        <v>108</v>
      </c>
    </row>
    <row r="37" spans="1:8" x14ac:dyDescent="0.45">
      <c r="A37" t="s">
        <v>155</v>
      </c>
      <c r="B37" t="s">
        <v>45</v>
      </c>
      <c r="C37" s="3">
        <v>55</v>
      </c>
      <c r="D37" s="2">
        <v>2.449916670383562</v>
      </c>
      <c r="E37">
        <v>0.39786743057213342</v>
      </c>
      <c r="F37">
        <v>1</v>
      </c>
      <c r="G37">
        <v>122</v>
      </c>
      <c r="H37">
        <v>123</v>
      </c>
    </row>
    <row r="38" spans="1:8" x14ac:dyDescent="0.45">
      <c r="A38" t="s">
        <v>153</v>
      </c>
      <c r="B38" t="s">
        <v>46</v>
      </c>
      <c r="C38" s="3">
        <v>11500</v>
      </c>
      <c r="D38" s="2">
        <v>220.44184621190951</v>
      </c>
      <c r="E38">
        <v>964.1180415828303</v>
      </c>
      <c r="F38">
        <v>100</v>
      </c>
      <c r="G38">
        <v>26</v>
      </c>
      <c r="H38">
        <v>126</v>
      </c>
    </row>
    <row r="39" spans="1:8" x14ac:dyDescent="0.45">
      <c r="A39" t="s">
        <v>155</v>
      </c>
      <c r="B39" t="s">
        <v>47</v>
      </c>
      <c r="C39" s="3">
        <v>24625</v>
      </c>
      <c r="D39" s="2">
        <v>279.4539219064319</v>
      </c>
      <c r="E39">
        <v>162.83144878661639</v>
      </c>
      <c r="F39">
        <v>56</v>
      </c>
      <c r="G39">
        <v>13</v>
      </c>
      <c r="H39">
        <v>69</v>
      </c>
    </row>
    <row r="40" spans="1:8" x14ac:dyDescent="0.45">
      <c r="A40" t="s">
        <v>154</v>
      </c>
      <c r="B40" t="s">
        <v>49</v>
      </c>
      <c r="C40" s="3">
        <v>2425</v>
      </c>
      <c r="D40" s="2">
        <v>229.43768639738431</v>
      </c>
      <c r="E40">
        <v>1897.496087636933</v>
      </c>
      <c r="F40">
        <v>106</v>
      </c>
      <c r="G40">
        <v>22</v>
      </c>
      <c r="H40">
        <v>128</v>
      </c>
    </row>
    <row r="41" spans="1:8" x14ac:dyDescent="0.45">
      <c r="A41" t="s">
        <v>156</v>
      </c>
      <c r="B41" t="s">
        <v>50</v>
      </c>
      <c r="C41" s="3">
        <v>3685</v>
      </c>
      <c r="D41" s="2">
        <v>213.1093360703382</v>
      </c>
      <c r="E41">
        <v>326.4239525201524</v>
      </c>
      <c r="F41">
        <v>72</v>
      </c>
      <c r="G41">
        <v>32</v>
      </c>
      <c r="H41">
        <v>104</v>
      </c>
    </row>
    <row r="42" spans="1:8" x14ac:dyDescent="0.45">
      <c r="A42" t="s">
        <v>157</v>
      </c>
      <c r="B42" t="s">
        <v>51</v>
      </c>
      <c r="C42" s="3">
        <v>3635</v>
      </c>
      <c r="D42" s="2">
        <v>154.57690101296421</v>
      </c>
      <c r="E42">
        <v>36.859023109137183</v>
      </c>
      <c r="F42">
        <v>18</v>
      </c>
      <c r="G42">
        <v>79</v>
      </c>
      <c r="H42">
        <v>97</v>
      </c>
    </row>
    <row r="43" spans="1:8" x14ac:dyDescent="0.45">
      <c r="A43" t="s">
        <v>155</v>
      </c>
      <c r="B43" t="s">
        <v>52</v>
      </c>
      <c r="C43" s="3">
        <v>18320</v>
      </c>
      <c r="D43" s="2">
        <v>186.4172700195854</v>
      </c>
      <c r="E43">
        <v>69.306518671524174</v>
      </c>
      <c r="F43">
        <v>31</v>
      </c>
      <c r="G43">
        <v>48</v>
      </c>
      <c r="H43">
        <v>79</v>
      </c>
    </row>
    <row r="44" spans="1:8" x14ac:dyDescent="0.45">
      <c r="A44" t="s">
        <v>155</v>
      </c>
      <c r="B44" t="s">
        <v>53</v>
      </c>
      <c r="C44" s="3">
        <v>5600</v>
      </c>
      <c r="D44" s="2">
        <v>219.349798196455</v>
      </c>
      <c r="E44">
        <v>80.647484086523221</v>
      </c>
      <c r="F44">
        <v>36</v>
      </c>
      <c r="G44">
        <v>28</v>
      </c>
      <c r="H44">
        <v>64</v>
      </c>
    </row>
    <row r="45" spans="1:8" x14ac:dyDescent="0.45">
      <c r="A45" t="s">
        <v>159</v>
      </c>
      <c r="B45" t="s">
        <v>54</v>
      </c>
      <c r="C45" s="3">
        <v>13420</v>
      </c>
      <c r="D45" s="2">
        <v>309.73318799946009</v>
      </c>
      <c r="E45">
        <v>188.0737159274052</v>
      </c>
      <c r="F45">
        <v>62</v>
      </c>
      <c r="G45">
        <v>7</v>
      </c>
      <c r="H45">
        <v>69</v>
      </c>
    </row>
    <row r="46" spans="1:8" x14ac:dyDescent="0.45">
      <c r="A46" t="s">
        <v>153</v>
      </c>
      <c r="B46" t="s">
        <v>55</v>
      </c>
      <c r="C46" s="3">
        <v>17315</v>
      </c>
      <c r="D46" s="2">
        <v>171.73455526681849</v>
      </c>
      <c r="E46">
        <v>224.56099395637179</v>
      </c>
      <c r="F46">
        <v>66</v>
      </c>
      <c r="G46">
        <v>65</v>
      </c>
      <c r="H46">
        <v>131</v>
      </c>
    </row>
    <row r="47" spans="1:8" x14ac:dyDescent="0.45">
      <c r="A47" t="s">
        <v>155</v>
      </c>
      <c r="B47" t="s">
        <v>56</v>
      </c>
      <c r="C47" s="3">
        <v>5705</v>
      </c>
      <c r="D47" s="2">
        <v>137.70438095926579</v>
      </c>
      <c r="E47">
        <v>20.168702980937841</v>
      </c>
      <c r="F47">
        <v>8</v>
      </c>
      <c r="G47">
        <v>92</v>
      </c>
      <c r="H47">
        <v>100</v>
      </c>
    </row>
    <row r="48" spans="1:8" x14ac:dyDescent="0.45">
      <c r="A48" t="s">
        <v>159</v>
      </c>
      <c r="B48" t="s">
        <v>57</v>
      </c>
      <c r="C48" s="3">
        <v>250</v>
      </c>
      <c r="D48" s="2">
        <v>32.797114222004097</v>
      </c>
      <c r="E48">
        <v>14.67136150234742</v>
      </c>
      <c r="F48">
        <v>4</v>
      </c>
      <c r="G48">
        <v>118</v>
      </c>
      <c r="H48">
        <v>122</v>
      </c>
    </row>
    <row r="49" spans="1:8" x14ac:dyDescent="0.45">
      <c r="A49" t="s">
        <v>159</v>
      </c>
      <c r="B49" t="s">
        <v>58</v>
      </c>
      <c r="C49" s="3">
        <v>5580</v>
      </c>
      <c r="D49" s="2">
        <v>79.233970870663001</v>
      </c>
      <c r="E49">
        <v>5239.4366197183099</v>
      </c>
      <c r="F49">
        <v>116</v>
      </c>
      <c r="G49">
        <v>115</v>
      </c>
      <c r="H49">
        <v>231</v>
      </c>
    </row>
    <row r="50" spans="1:8" x14ac:dyDescent="0.45">
      <c r="A50" t="s">
        <v>155</v>
      </c>
      <c r="B50" t="s">
        <v>59</v>
      </c>
      <c r="C50" s="3">
        <v>10160</v>
      </c>
      <c r="D50" s="2">
        <v>162.2483577016651</v>
      </c>
      <c r="E50">
        <v>292.63515654252711</v>
      </c>
      <c r="F50">
        <v>68</v>
      </c>
      <c r="G50">
        <v>74</v>
      </c>
      <c r="H50">
        <v>142</v>
      </c>
    </row>
    <row r="51" spans="1:8" x14ac:dyDescent="0.45">
      <c r="A51" t="s">
        <v>154</v>
      </c>
      <c r="B51" t="s">
        <v>60</v>
      </c>
      <c r="C51" s="3">
        <v>11935</v>
      </c>
      <c r="D51" s="2">
        <v>288.51517684192339</v>
      </c>
      <c r="E51">
        <v>903.75586854460096</v>
      </c>
      <c r="F51">
        <v>98</v>
      </c>
      <c r="G51">
        <v>10</v>
      </c>
      <c r="H51">
        <v>108</v>
      </c>
    </row>
    <row r="52" spans="1:8" x14ac:dyDescent="0.45">
      <c r="A52" t="s">
        <v>159</v>
      </c>
      <c r="B52" t="s">
        <v>61</v>
      </c>
      <c r="C52" s="3">
        <v>12355</v>
      </c>
      <c r="D52" s="2">
        <v>86.531800304560136</v>
      </c>
      <c r="E52">
        <v>42.52543609654014</v>
      </c>
      <c r="F52">
        <v>20</v>
      </c>
      <c r="G52">
        <v>113</v>
      </c>
      <c r="H52">
        <v>133</v>
      </c>
    </row>
    <row r="53" spans="1:8" x14ac:dyDescent="0.45">
      <c r="A53" t="s">
        <v>154</v>
      </c>
      <c r="B53" t="s">
        <v>62</v>
      </c>
      <c r="C53" s="3">
        <v>5060</v>
      </c>
      <c r="D53" s="2">
        <v>169.5939966674884</v>
      </c>
      <c r="E53">
        <v>1397.404032035349</v>
      </c>
      <c r="F53">
        <v>103</v>
      </c>
      <c r="G53">
        <v>69</v>
      </c>
      <c r="H53">
        <v>172</v>
      </c>
    </row>
    <row r="54" spans="1:8" x14ac:dyDescent="0.45">
      <c r="A54" t="s">
        <v>159</v>
      </c>
      <c r="B54" t="s">
        <v>63</v>
      </c>
      <c r="C54" s="3">
        <v>5855</v>
      </c>
      <c r="D54" s="2">
        <v>114.8818371900711</v>
      </c>
      <c r="E54">
        <v>859.00821596244134</v>
      </c>
      <c r="F54">
        <v>97</v>
      </c>
      <c r="G54">
        <v>107</v>
      </c>
      <c r="H54">
        <v>204</v>
      </c>
    </row>
    <row r="55" spans="1:8" x14ac:dyDescent="0.45">
      <c r="A55" t="s">
        <v>159</v>
      </c>
      <c r="B55" t="s">
        <v>64</v>
      </c>
      <c r="C55" s="3">
        <v>4515</v>
      </c>
      <c r="D55" s="2">
        <v>239.80872758429561</v>
      </c>
      <c r="E55">
        <v>441.60798122065728</v>
      </c>
      <c r="F55">
        <v>84</v>
      </c>
      <c r="G55">
        <v>18</v>
      </c>
      <c r="H55">
        <v>102</v>
      </c>
    </row>
    <row r="56" spans="1:8" x14ac:dyDescent="0.45">
      <c r="A56" t="s">
        <v>153</v>
      </c>
      <c r="B56" t="s">
        <v>65</v>
      </c>
      <c r="C56" s="3">
        <v>8100</v>
      </c>
      <c r="D56" s="2">
        <v>200.99840232406439</v>
      </c>
      <c r="E56">
        <v>38028.169014084509</v>
      </c>
      <c r="F56">
        <v>123</v>
      </c>
      <c r="G56">
        <v>35</v>
      </c>
      <c r="H56">
        <v>158</v>
      </c>
    </row>
    <row r="57" spans="1:8" x14ac:dyDescent="0.45">
      <c r="A57" t="s">
        <v>156</v>
      </c>
      <c r="B57" t="s">
        <v>66</v>
      </c>
      <c r="C57" s="3">
        <v>16060</v>
      </c>
      <c r="D57" s="2">
        <v>183.59629738860721</v>
      </c>
      <c r="E57">
        <v>58.813620150439817</v>
      </c>
      <c r="F57">
        <v>27</v>
      </c>
      <c r="G57">
        <v>52</v>
      </c>
      <c r="H57">
        <v>79</v>
      </c>
    </row>
    <row r="58" spans="1:8" x14ac:dyDescent="0.45">
      <c r="A58" t="s">
        <v>156</v>
      </c>
      <c r="B58" t="s">
        <v>67</v>
      </c>
      <c r="C58" s="3">
        <v>6655</v>
      </c>
      <c r="D58" s="2">
        <v>316.41528295652222</v>
      </c>
      <c r="E58">
        <v>1644.427971336793</v>
      </c>
      <c r="F58">
        <v>104</v>
      </c>
      <c r="G58">
        <v>6</v>
      </c>
      <c r="H58">
        <v>110</v>
      </c>
    </row>
    <row r="59" spans="1:8" x14ac:dyDescent="0.45">
      <c r="A59" t="s">
        <v>155</v>
      </c>
      <c r="B59" t="s">
        <v>68</v>
      </c>
      <c r="C59" s="3">
        <v>1845</v>
      </c>
      <c r="D59" s="2">
        <v>137.05328146325479</v>
      </c>
      <c r="E59">
        <v>4330.9859154929582</v>
      </c>
      <c r="F59">
        <v>114</v>
      </c>
      <c r="G59">
        <v>94</v>
      </c>
      <c r="H59">
        <v>208</v>
      </c>
    </row>
    <row r="60" spans="1:8" x14ac:dyDescent="0.45">
      <c r="A60" t="s">
        <v>156</v>
      </c>
      <c r="B60" t="s">
        <v>69</v>
      </c>
      <c r="C60" s="3">
        <v>7780</v>
      </c>
      <c r="D60" s="2">
        <v>153.8100544524163</v>
      </c>
      <c r="E60">
        <v>38.00813901794394</v>
      </c>
      <c r="F60">
        <v>19</v>
      </c>
      <c r="G60">
        <v>81</v>
      </c>
      <c r="H60">
        <v>100</v>
      </c>
    </row>
    <row r="61" spans="1:8" x14ac:dyDescent="0.45">
      <c r="A61" t="s">
        <v>165</v>
      </c>
      <c r="B61" t="s">
        <v>70</v>
      </c>
      <c r="C61" s="3">
        <v>10825</v>
      </c>
      <c r="D61" s="2">
        <v>219.62269335213</v>
      </c>
      <c r="E61">
        <v>25410.798122065731</v>
      </c>
      <c r="F61">
        <v>122</v>
      </c>
      <c r="G61">
        <v>27</v>
      </c>
      <c r="H61">
        <v>149</v>
      </c>
    </row>
    <row r="62" spans="1:8" x14ac:dyDescent="0.45">
      <c r="A62" t="s">
        <v>153</v>
      </c>
      <c r="B62" t="s">
        <v>72</v>
      </c>
      <c r="C62" s="3">
        <v>3495</v>
      </c>
      <c r="D62" s="2">
        <v>159.41868115894971</v>
      </c>
      <c r="E62">
        <v>111.62211363418611</v>
      </c>
      <c r="F62">
        <v>47</v>
      </c>
      <c r="G62">
        <v>75</v>
      </c>
      <c r="H62">
        <v>122</v>
      </c>
    </row>
    <row r="63" spans="1:8" x14ac:dyDescent="0.45">
      <c r="A63" t="s">
        <v>156</v>
      </c>
      <c r="B63" t="s">
        <v>73</v>
      </c>
      <c r="C63" s="3">
        <v>7560</v>
      </c>
      <c r="D63" s="2">
        <v>181.00090004738371</v>
      </c>
      <c r="E63">
        <v>63.154729086261341</v>
      </c>
      <c r="F63">
        <v>28</v>
      </c>
      <c r="G63">
        <v>56</v>
      </c>
      <c r="H63">
        <v>84</v>
      </c>
    </row>
    <row r="64" spans="1:8" x14ac:dyDescent="0.45">
      <c r="A64" t="s">
        <v>157</v>
      </c>
      <c r="B64" t="s">
        <v>74</v>
      </c>
      <c r="C64" s="3">
        <v>6170</v>
      </c>
      <c r="D64" s="2">
        <v>193.7681788138629</v>
      </c>
      <c r="E64">
        <v>66.89869780654675</v>
      </c>
      <c r="F64">
        <v>30</v>
      </c>
      <c r="G64">
        <v>39</v>
      </c>
      <c r="H64">
        <v>69</v>
      </c>
    </row>
    <row r="65" spans="1:8" x14ac:dyDescent="0.45">
      <c r="A65" t="s">
        <v>159</v>
      </c>
      <c r="B65" t="s">
        <v>75</v>
      </c>
      <c r="C65" s="3">
        <v>27325</v>
      </c>
      <c r="D65" s="2">
        <v>330.60158777097041</v>
      </c>
      <c r="E65">
        <v>503.08386265304239</v>
      </c>
      <c r="F65">
        <v>86</v>
      </c>
      <c r="G65">
        <v>4</v>
      </c>
      <c r="H65">
        <v>90</v>
      </c>
    </row>
    <row r="66" spans="1:8" x14ac:dyDescent="0.45">
      <c r="A66" t="s">
        <v>153</v>
      </c>
      <c r="B66" t="s">
        <v>76</v>
      </c>
      <c r="C66" s="3">
        <v>8890</v>
      </c>
      <c r="D66" s="2">
        <v>328.08774442851768</v>
      </c>
      <c r="E66">
        <v>31.404882770412289</v>
      </c>
      <c r="F66">
        <v>13</v>
      </c>
      <c r="G66">
        <v>5</v>
      </c>
      <c r="H66">
        <v>18</v>
      </c>
    </row>
    <row r="67" spans="1:8" x14ac:dyDescent="0.45">
      <c r="A67" t="s">
        <v>153</v>
      </c>
      <c r="B67" t="s">
        <v>77</v>
      </c>
      <c r="C67" s="3">
        <v>4700</v>
      </c>
      <c r="D67" s="2">
        <v>147.23486984625899</v>
      </c>
      <c r="E67">
        <v>1002.9876227059329</v>
      </c>
      <c r="F67">
        <v>101</v>
      </c>
      <c r="G67">
        <v>85</v>
      </c>
      <c r="H67">
        <v>186</v>
      </c>
    </row>
    <row r="68" spans="1:8" x14ac:dyDescent="0.45">
      <c r="A68" t="s">
        <v>157</v>
      </c>
      <c r="B68" t="s">
        <v>78</v>
      </c>
      <c r="C68" s="3">
        <v>17670</v>
      </c>
      <c r="D68" s="2">
        <v>192.36336213568001</v>
      </c>
      <c r="E68">
        <v>83.542544288895513</v>
      </c>
      <c r="F68">
        <v>38</v>
      </c>
      <c r="G68">
        <v>40</v>
      </c>
      <c r="H68">
        <v>78</v>
      </c>
    </row>
    <row r="69" spans="1:8" x14ac:dyDescent="0.45">
      <c r="A69" t="s">
        <v>154</v>
      </c>
      <c r="B69" t="s">
        <v>80</v>
      </c>
      <c r="C69" s="3">
        <v>13260</v>
      </c>
      <c r="D69" s="2">
        <v>153.64915175059261</v>
      </c>
      <c r="E69">
        <v>98.658512086783787</v>
      </c>
      <c r="F69">
        <v>40</v>
      </c>
      <c r="G69">
        <v>82</v>
      </c>
      <c r="H69">
        <v>122</v>
      </c>
    </row>
    <row r="70" spans="1:8" x14ac:dyDescent="0.45">
      <c r="A70" t="s">
        <v>154</v>
      </c>
      <c r="B70" t="s">
        <v>84</v>
      </c>
      <c r="C70" s="3">
        <v>350</v>
      </c>
      <c r="D70" s="2">
        <v>52.472941618895227</v>
      </c>
      <c r="E70">
        <v>410.79812206572768</v>
      </c>
      <c r="F70">
        <v>82</v>
      </c>
      <c r="G70">
        <v>116</v>
      </c>
      <c r="H70">
        <v>198</v>
      </c>
    </row>
    <row r="71" spans="1:8" x14ac:dyDescent="0.45">
      <c r="A71" t="s">
        <v>154</v>
      </c>
      <c r="B71" t="s">
        <v>86</v>
      </c>
      <c r="C71" s="3">
        <v>6115</v>
      </c>
      <c r="D71" s="2">
        <v>178.38844770140969</v>
      </c>
      <c r="E71">
        <v>598.10250391236309</v>
      </c>
      <c r="F71">
        <v>88</v>
      </c>
      <c r="G71">
        <v>58</v>
      </c>
      <c r="H71">
        <v>146</v>
      </c>
    </row>
    <row r="72" spans="1:8" x14ac:dyDescent="0.45">
      <c r="A72" t="s">
        <v>165</v>
      </c>
      <c r="B72" t="s">
        <v>87</v>
      </c>
      <c r="C72" s="3">
        <v>8460</v>
      </c>
      <c r="D72" s="2">
        <v>233.91704633578129</v>
      </c>
      <c r="E72">
        <v>490.34950443401152</v>
      </c>
      <c r="F72">
        <v>85</v>
      </c>
      <c r="G72">
        <v>21</v>
      </c>
      <c r="H72">
        <v>106</v>
      </c>
    </row>
    <row r="73" spans="1:8" x14ac:dyDescent="0.45">
      <c r="A73" t="s">
        <v>165</v>
      </c>
      <c r="B73" t="s">
        <v>88</v>
      </c>
      <c r="C73" s="3">
        <v>7495</v>
      </c>
      <c r="D73" s="2">
        <v>139.41126677028089</v>
      </c>
      <c r="E73">
        <v>35.223016443673721</v>
      </c>
      <c r="F73">
        <v>17</v>
      </c>
      <c r="G73">
        <v>91</v>
      </c>
      <c r="H73">
        <v>108</v>
      </c>
    </row>
    <row r="74" spans="1:8" x14ac:dyDescent="0.45">
      <c r="A74" t="s">
        <v>155</v>
      </c>
      <c r="B74" t="s">
        <v>89</v>
      </c>
      <c r="C74" s="3">
        <v>12925</v>
      </c>
      <c r="D74" s="2">
        <v>127.7462245895429</v>
      </c>
      <c r="E74">
        <v>2427.2300469483571</v>
      </c>
      <c r="F74">
        <v>108</v>
      </c>
      <c r="G74">
        <v>98</v>
      </c>
      <c r="H74">
        <v>206</v>
      </c>
    </row>
    <row r="75" spans="1:8" x14ac:dyDescent="0.45">
      <c r="A75" t="s">
        <v>155</v>
      </c>
      <c r="B75" t="s">
        <v>90</v>
      </c>
      <c r="C75" s="3">
        <v>220</v>
      </c>
      <c r="D75" s="2">
        <v>23.640650531455641</v>
      </c>
      <c r="E75">
        <v>103.2863849765258</v>
      </c>
      <c r="F75">
        <v>43</v>
      </c>
      <c r="G75">
        <v>119</v>
      </c>
      <c r="H75">
        <v>162</v>
      </c>
    </row>
    <row r="76" spans="1:8" x14ac:dyDescent="0.45">
      <c r="A76" t="s">
        <v>156</v>
      </c>
      <c r="B76" t="s">
        <v>91</v>
      </c>
      <c r="C76" s="3">
        <v>35</v>
      </c>
      <c r="D76" s="2">
        <v>3.3433683667915162</v>
      </c>
      <c r="E76">
        <v>3.7345283824157058</v>
      </c>
      <c r="F76">
        <v>2</v>
      </c>
      <c r="G76">
        <v>121</v>
      </c>
      <c r="H76">
        <v>123</v>
      </c>
    </row>
    <row r="77" spans="1:8" x14ac:dyDescent="0.45">
      <c r="A77" t="s">
        <v>154</v>
      </c>
      <c r="B77" t="s">
        <v>92</v>
      </c>
      <c r="C77" s="3">
        <v>3920</v>
      </c>
      <c r="D77" s="2">
        <v>131.29569795534161</v>
      </c>
      <c r="E77">
        <v>182.21540463905541</v>
      </c>
      <c r="F77">
        <v>60</v>
      </c>
      <c r="G77">
        <v>96</v>
      </c>
      <c r="H77">
        <v>156</v>
      </c>
    </row>
    <row r="78" spans="1:8" x14ac:dyDescent="0.45">
      <c r="A78" t="s">
        <v>165</v>
      </c>
      <c r="B78" t="s">
        <v>93</v>
      </c>
      <c r="C78" s="3">
        <v>5370</v>
      </c>
      <c r="D78" s="2">
        <v>181.9374884372701</v>
      </c>
      <c r="E78">
        <v>58.767523556255952</v>
      </c>
      <c r="F78">
        <v>26</v>
      </c>
      <c r="G78">
        <v>55</v>
      </c>
      <c r="H78">
        <v>81</v>
      </c>
    </row>
    <row r="79" spans="1:8" x14ac:dyDescent="0.45">
      <c r="A79" t="s">
        <v>165</v>
      </c>
      <c r="B79" t="s">
        <v>94</v>
      </c>
      <c r="C79" s="3">
        <v>2875</v>
      </c>
      <c r="D79" s="2">
        <v>147.94537404361091</v>
      </c>
      <c r="E79">
        <v>127.3363451147134</v>
      </c>
      <c r="F79">
        <v>49</v>
      </c>
      <c r="G79">
        <v>84</v>
      </c>
      <c r="H79">
        <v>133</v>
      </c>
    </row>
    <row r="80" spans="1:8" x14ac:dyDescent="0.45">
      <c r="A80" t="s">
        <v>157</v>
      </c>
      <c r="B80" t="s">
        <v>95</v>
      </c>
      <c r="C80" s="3">
        <v>7625</v>
      </c>
      <c r="D80" s="2">
        <v>215.17262747425389</v>
      </c>
      <c r="E80">
        <v>28.25423998873536</v>
      </c>
      <c r="F80">
        <v>11</v>
      </c>
      <c r="G80">
        <v>31</v>
      </c>
      <c r="H80">
        <v>42</v>
      </c>
    </row>
    <row r="81" spans="1:8" x14ac:dyDescent="0.45">
      <c r="A81" t="s">
        <v>153</v>
      </c>
      <c r="B81" t="s">
        <v>96</v>
      </c>
      <c r="C81" s="3">
        <v>1770</v>
      </c>
      <c r="D81" s="2">
        <v>114.6181058898634</v>
      </c>
      <c r="E81">
        <v>268.05997273966381</v>
      </c>
      <c r="F81">
        <v>67</v>
      </c>
      <c r="G81">
        <v>108</v>
      </c>
      <c r="H81">
        <v>175</v>
      </c>
    </row>
    <row r="82" spans="1:8" x14ac:dyDescent="0.45">
      <c r="A82" t="s">
        <v>153</v>
      </c>
      <c r="B82" t="s">
        <v>97</v>
      </c>
      <c r="C82" s="3">
        <v>16860</v>
      </c>
      <c r="D82" s="2">
        <v>237.92025885459481</v>
      </c>
      <c r="E82">
        <v>31.548397599627251</v>
      </c>
      <c r="F82">
        <v>14</v>
      </c>
      <c r="G82">
        <v>20</v>
      </c>
      <c r="H82">
        <v>34</v>
      </c>
    </row>
    <row r="83" spans="1:8" x14ac:dyDescent="0.45">
      <c r="A83" t="s">
        <v>157</v>
      </c>
      <c r="B83" t="s">
        <v>98</v>
      </c>
      <c r="C83" s="3">
        <v>5395</v>
      </c>
      <c r="D83" s="2">
        <v>190.6561755800989</v>
      </c>
      <c r="E83">
        <v>767.53449992886613</v>
      </c>
      <c r="F83">
        <v>95</v>
      </c>
      <c r="G83">
        <v>44</v>
      </c>
      <c r="H83">
        <v>139</v>
      </c>
    </row>
    <row r="84" spans="1:8" x14ac:dyDescent="0.45">
      <c r="A84" t="s">
        <v>165</v>
      </c>
      <c r="B84" t="s">
        <v>99</v>
      </c>
      <c r="C84" s="3">
        <v>6480</v>
      </c>
      <c r="D84" s="2">
        <v>137.6379907545433</v>
      </c>
      <c r="E84">
        <v>65.992484189300669</v>
      </c>
      <c r="F84">
        <v>29</v>
      </c>
      <c r="G84">
        <v>93</v>
      </c>
      <c r="H84">
        <v>122</v>
      </c>
    </row>
    <row r="85" spans="1:8" x14ac:dyDescent="0.45">
      <c r="A85" t="s">
        <v>153</v>
      </c>
      <c r="B85" t="s">
        <v>101</v>
      </c>
      <c r="C85" s="3">
        <v>8285</v>
      </c>
      <c r="D85" s="2">
        <v>175.81763850497421</v>
      </c>
      <c r="E85">
        <v>400.99704757756149</v>
      </c>
      <c r="F85">
        <v>81</v>
      </c>
      <c r="G85">
        <v>61</v>
      </c>
      <c r="H85">
        <v>142</v>
      </c>
    </row>
    <row r="86" spans="1:8" x14ac:dyDescent="0.45">
      <c r="A86" t="s">
        <v>153</v>
      </c>
      <c r="B86" t="s">
        <v>102</v>
      </c>
      <c r="C86" s="3">
        <v>7375</v>
      </c>
      <c r="D86" s="2">
        <v>185.30142455204461</v>
      </c>
      <c r="E86">
        <v>146.7136150234742</v>
      </c>
      <c r="F86">
        <v>53</v>
      </c>
      <c r="G86">
        <v>50</v>
      </c>
      <c r="H86">
        <v>103</v>
      </c>
    </row>
    <row r="87" spans="1:8" x14ac:dyDescent="0.45">
      <c r="A87" t="s">
        <v>157</v>
      </c>
      <c r="B87" t="s">
        <v>103</v>
      </c>
      <c r="C87" s="3">
        <v>2580</v>
      </c>
      <c r="D87" s="2">
        <v>125.0230254264393</v>
      </c>
      <c r="E87">
        <v>168.2316118935837</v>
      </c>
      <c r="F87">
        <v>58</v>
      </c>
      <c r="G87">
        <v>100</v>
      </c>
      <c r="H87">
        <v>158</v>
      </c>
    </row>
    <row r="88" spans="1:8" x14ac:dyDescent="0.45">
      <c r="A88" t="s">
        <v>155</v>
      </c>
      <c r="B88" t="s">
        <v>105</v>
      </c>
      <c r="C88" s="3">
        <v>11020</v>
      </c>
      <c r="D88" s="2">
        <v>170.2913221862384</v>
      </c>
      <c r="E88">
        <v>17245.69640062598</v>
      </c>
      <c r="F88">
        <v>121</v>
      </c>
      <c r="G88">
        <v>67</v>
      </c>
      <c r="H88">
        <v>188</v>
      </c>
    </row>
    <row r="89" spans="1:8" x14ac:dyDescent="0.45">
      <c r="A89" t="s">
        <v>159</v>
      </c>
      <c r="B89" t="s">
        <v>106</v>
      </c>
      <c r="C89" s="3">
        <v>4250</v>
      </c>
      <c r="D89" s="2">
        <v>171.77036472935779</v>
      </c>
      <c r="E89">
        <v>51.558272979825553</v>
      </c>
      <c r="F89">
        <v>23</v>
      </c>
      <c r="G89">
        <v>64</v>
      </c>
      <c r="H89">
        <v>87</v>
      </c>
    </row>
    <row r="90" spans="1:8" x14ac:dyDescent="0.45">
      <c r="A90" t="s">
        <v>154</v>
      </c>
      <c r="B90" t="s">
        <v>107</v>
      </c>
      <c r="C90" s="3">
        <v>1075</v>
      </c>
      <c r="D90" s="2">
        <v>39.509148544429863</v>
      </c>
      <c r="E90">
        <v>78.858568075117375</v>
      </c>
      <c r="F90">
        <v>34</v>
      </c>
      <c r="G90">
        <v>117</v>
      </c>
      <c r="H90">
        <v>151</v>
      </c>
    </row>
    <row r="91" spans="1:8" x14ac:dyDescent="0.45">
      <c r="A91" t="s">
        <v>159</v>
      </c>
      <c r="B91" t="s">
        <v>262</v>
      </c>
      <c r="C91" s="3">
        <v>5195</v>
      </c>
      <c r="D91" s="2">
        <v>350.40322566501851</v>
      </c>
      <c r="E91">
        <v>2709.9634846113722</v>
      </c>
      <c r="F91">
        <v>111</v>
      </c>
      <c r="G91">
        <v>3</v>
      </c>
      <c r="H91">
        <v>114</v>
      </c>
    </row>
    <row r="92" spans="1:8" x14ac:dyDescent="0.45">
      <c r="A92" t="s">
        <v>157</v>
      </c>
      <c r="B92" t="s">
        <v>271</v>
      </c>
      <c r="C92" s="3">
        <v>6280</v>
      </c>
      <c r="D92" s="2">
        <v>217.33103721625889</v>
      </c>
      <c r="E92">
        <v>216.7909417288042</v>
      </c>
      <c r="F92">
        <v>65</v>
      </c>
      <c r="G92">
        <v>30</v>
      </c>
      <c r="H92">
        <v>95</v>
      </c>
    </row>
    <row r="93" spans="1:8" x14ac:dyDescent="0.45">
      <c r="A93" t="s">
        <v>155</v>
      </c>
      <c r="B93" t="s">
        <v>280</v>
      </c>
      <c r="C93" s="3">
        <v>3285</v>
      </c>
      <c r="D93" s="2">
        <v>158.6944418353817</v>
      </c>
      <c r="E93">
        <v>48.80549117489749</v>
      </c>
      <c r="F93">
        <v>22</v>
      </c>
      <c r="G93">
        <v>77</v>
      </c>
      <c r="H93">
        <v>99</v>
      </c>
    </row>
    <row r="94" spans="1:8" x14ac:dyDescent="0.45">
      <c r="A94" t="s">
        <v>153</v>
      </c>
      <c r="B94" t="s">
        <v>294</v>
      </c>
      <c r="C94" s="3">
        <v>21760</v>
      </c>
      <c r="D94" s="2">
        <v>272.23906959058928</v>
      </c>
      <c r="E94">
        <v>144.7020175823591</v>
      </c>
      <c r="F94">
        <v>52</v>
      </c>
      <c r="G94">
        <v>14</v>
      </c>
      <c r="H94">
        <v>66</v>
      </c>
    </row>
    <row r="95" spans="1:8" x14ac:dyDescent="0.45">
      <c r="A95" t="s">
        <v>156</v>
      </c>
      <c r="B95" t="s">
        <v>308</v>
      </c>
      <c r="C95" s="3">
        <v>3635</v>
      </c>
      <c r="D95" s="2">
        <v>191.2703346320757</v>
      </c>
      <c r="E95">
        <v>87.516552305284705</v>
      </c>
      <c r="F95">
        <v>39</v>
      </c>
      <c r="G95">
        <v>43</v>
      </c>
      <c r="H95">
        <v>82</v>
      </c>
    </row>
    <row r="96" spans="1:8" x14ac:dyDescent="0.45">
      <c r="A96" t="s">
        <v>157</v>
      </c>
      <c r="B96" t="s">
        <v>309</v>
      </c>
      <c r="C96" s="3">
        <v>80</v>
      </c>
      <c r="D96" s="2">
        <v>13.74321686410252</v>
      </c>
      <c r="E96">
        <v>11.38141983212406</v>
      </c>
      <c r="F96">
        <v>3</v>
      </c>
      <c r="G96">
        <v>120</v>
      </c>
      <c r="H96">
        <v>123</v>
      </c>
    </row>
    <row r="97" spans="1:8" x14ac:dyDescent="0.45">
      <c r="A97" t="s">
        <v>157</v>
      </c>
      <c r="B97" t="s">
        <v>313</v>
      </c>
      <c r="C97" s="3">
        <v>5</v>
      </c>
      <c r="D97" s="2">
        <v>0.92690189318897875</v>
      </c>
      <c r="E97">
        <v>23.474178403755872</v>
      </c>
      <c r="F97">
        <v>9</v>
      </c>
      <c r="G97">
        <v>123</v>
      </c>
      <c r="H97">
        <v>132</v>
      </c>
    </row>
    <row r="98" spans="1:8" x14ac:dyDescent="0.45">
      <c r="A98" t="s">
        <v>157</v>
      </c>
      <c r="B98" t="s">
        <v>314</v>
      </c>
      <c r="C98" s="3">
        <v>8110</v>
      </c>
      <c r="D98" s="2">
        <v>174.31860158079601</v>
      </c>
      <c r="E98">
        <v>6345.8528951486696</v>
      </c>
      <c r="F98">
        <v>119</v>
      </c>
      <c r="G98">
        <v>63</v>
      </c>
      <c r="H98">
        <v>182</v>
      </c>
    </row>
    <row r="99" spans="1:8" x14ac:dyDescent="0.45">
      <c r="A99" t="s">
        <v>157</v>
      </c>
      <c r="B99" t="s">
        <v>316</v>
      </c>
      <c r="C99" s="3">
        <v>7500</v>
      </c>
      <c r="D99" s="2">
        <v>218.17560384217339</v>
      </c>
      <c r="E99">
        <v>81.696676579196762</v>
      </c>
      <c r="F99">
        <v>37</v>
      </c>
      <c r="G99">
        <v>29</v>
      </c>
      <c r="H99">
        <v>66</v>
      </c>
    </row>
    <row r="100" spans="1:8" x14ac:dyDescent="0.45">
      <c r="A100" t="s">
        <v>159</v>
      </c>
      <c r="B100" t="s">
        <v>327</v>
      </c>
      <c r="C100" s="3">
        <v>5390</v>
      </c>
      <c r="D100" s="2">
        <v>659.20913180686</v>
      </c>
      <c r="E100">
        <v>5061.0328638497658</v>
      </c>
      <c r="F100">
        <v>115</v>
      </c>
      <c r="G100">
        <v>1</v>
      </c>
      <c r="H100">
        <v>116</v>
      </c>
    </row>
    <row r="101" spans="1:8" x14ac:dyDescent="0.45">
      <c r="A101" t="s">
        <v>165</v>
      </c>
      <c r="B101" t="s">
        <v>123</v>
      </c>
      <c r="C101" s="3">
        <v>4690</v>
      </c>
      <c r="D101" s="2">
        <v>191.95089931102351</v>
      </c>
      <c r="E101">
        <v>110.093896713615</v>
      </c>
      <c r="F101">
        <v>45</v>
      </c>
      <c r="G101">
        <v>42</v>
      </c>
      <c r="H101">
        <v>87</v>
      </c>
    </row>
    <row r="102" spans="1:8" x14ac:dyDescent="0.45">
      <c r="A102" t="s">
        <v>157</v>
      </c>
      <c r="B102" t="s">
        <v>124</v>
      </c>
      <c r="C102" s="3">
        <v>11755</v>
      </c>
      <c r="D102" s="2">
        <v>251.7358464004999</v>
      </c>
      <c r="E102">
        <v>372.89049612993273</v>
      </c>
      <c r="F102">
        <v>77</v>
      </c>
      <c r="G102">
        <v>15</v>
      </c>
      <c r="H102">
        <v>92</v>
      </c>
    </row>
    <row r="103" spans="1:8" x14ac:dyDescent="0.45">
      <c r="A103" t="s">
        <v>155</v>
      </c>
      <c r="B103" t="s">
        <v>125</v>
      </c>
      <c r="C103" s="3">
        <v>21960</v>
      </c>
      <c r="D103" s="2">
        <v>297.68768108882932</v>
      </c>
      <c r="E103">
        <v>363.02320968061889</v>
      </c>
      <c r="F103">
        <v>75</v>
      </c>
      <c r="G103">
        <v>9</v>
      </c>
      <c r="H103">
        <v>84</v>
      </c>
    </row>
    <row r="104" spans="1:8" x14ac:dyDescent="0.45">
      <c r="A104" t="s">
        <v>154</v>
      </c>
      <c r="B104" t="s">
        <v>126</v>
      </c>
      <c r="C104" s="3">
        <v>12615</v>
      </c>
      <c r="D104" s="2">
        <v>166.02288507518449</v>
      </c>
      <c r="E104">
        <v>141.6874452456365</v>
      </c>
      <c r="F104">
        <v>51</v>
      </c>
      <c r="G104">
        <v>72</v>
      </c>
      <c r="H104">
        <v>123</v>
      </c>
    </row>
    <row r="105" spans="1:8" x14ac:dyDescent="0.45">
      <c r="A105" t="s">
        <v>157</v>
      </c>
      <c r="B105" t="s">
        <v>127</v>
      </c>
      <c r="C105" s="3">
        <v>24270</v>
      </c>
      <c r="D105" s="2">
        <v>200.61635096897029</v>
      </c>
      <c r="E105">
        <v>187.4073387694589</v>
      </c>
      <c r="F105">
        <v>61</v>
      </c>
      <c r="G105">
        <v>37</v>
      </c>
      <c r="H105">
        <v>98</v>
      </c>
    </row>
    <row r="106" spans="1:8" x14ac:dyDescent="0.45">
      <c r="A106" t="s">
        <v>165</v>
      </c>
      <c r="B106" t="s">
        <v>128</v>
      </c>
      <c r="C106" s="3">
        <v>8390</v>
      </c>
      <c r="D106" s="2">
        <v>127.068587306425</v>
      </c>
      <c r="E106">
        <v>47.343355001805698</v>
      </c>
      <c r="F106">
        <v>21</v>
      </c>
      <c r="G106">
        <v>99</v>
      </c>
      <c r="H106">
        <v>120</v>
      </c>
    </row>
    <row r="107" spans="1:8" x14ac:dyDescent="0.45">
      <c r="A107" t="s">
        <v>157</v>
      </c>
      <c r="B107" t="s">
        <v>129</v>
      </c>
      <c r="C107" s="3">
        <v>16360</v>
      </c>
      <c r="D107" s="2">
        <v>303.7097255454334</v>
      </c>
      <c r="E107">
        <v>196.43864894396219</v>
      </c>
      <c r="F107">
        <v>63</v>
      </c>
      <c r="G107">
        <v>8</v>
      </c>
      <c r="H107">
        <v>71</v>
      </c>
    </row>
    <row r="108" spans="1:8" x14ac:dyDescent="0.45">
      <c r="A108" t="s">
        <v>165</v>
      </c>
      <c r="B108" t="s">
        <v>130</v>
      </c>
      <c r="C108" s="3">
        <v>7870</v>
      </c>
      <c r="D108" s="2">
        <v>168.19414227379971</v>
      </c>
      <c r="E108">
        <v>3358.9415279556119</v>
      </c>
      <c r="F108">
        <v>112</v>
      </c>
      <c r="G108">
        <v>70</v>
      </c>
      <c r="H108">
        <v>182</v>
      </c>
    </row>
    <row r="109" spans="1:8" x14ac:dyDescent="0.45">
      <c r="A109" t="s">
        <v>165</v>
      </c>
      <c r="B109" t="s">
        <v>131</v>
      </c>
      <c r="C109" s="3">
        <v>9990</v>
      </c>
      <c r="D109" s="2">
        <v>195.20540414629261</v>
      </c>
      <c r="E109">
        <v>162.85211267605629</v>
      </c>
      <c r="F109">
        <v>57</v>
      </c>
      <c r="G109">
        <v>38</v>
      </c>
      <c r="H109">
        <v>95</v>
      </c>
    </row>
    <row r="110" spans="1:8" x14ac:dyDescent="0.45">
      <c r="A110" t="s">
        <v>154</v>
      </c>
      <c r="B110" t="s">
        <v>132</v>
      </c>
      <c r="C110" s="3">
        <v>16045</v>
      </c>
      <c r="D110" s="2">
        <v>179.7695230359553</v>
      </c>
      <c r="E110">
        <v>311.27536569277919</v>
      </c>
      <c r="F110">
        <v>71</v>
      </c>
      <c r="G110">
        <v>57</v>
      </c>
      <c r="H110">
        <v>128</v>
      </c>
    </row>
    <row r="111" spans="1:8" x14ac:dyDescent="0.45">
      <c r="A111" t="s">
        <v>157</v>
      </c>
      <c r="B111" t="s">
        <v>133</v>
      </c>
      <c r="C111" s="3">
        <v>12250</v>
      </c>
      <c r="D111" s="2">
        <v>186.87804125440911</v>
      </c>
      <c r="E111">
        <v>75.375802213894985</v>
      </c>
      <c r="F111">
        <v>33</v>
      </c>
      <c r="G111">
        <v>47</v>
      </c>
      <c r="H111">
        <v>80</v>
      </c>
    </row>
    <row r="112" spans="1:8" x14ac:dyDescent="0.45">
      <c r="A112" t="s">
        <v>157</v>
      </c>
      <c r="B112" t="s">
        <v>134</v>
      </c>
      <c r="C112" s="3">
        <v>13365</v>
      </c>
      <c r="D112" s="2">
        <v>140.0247115412688</v>
      </c>
      <c r="E112">
        <v>28.547078650245421</v>
      </c>
      <c r="F112">
        <v>12</v>
      </c>
      <c r="G112">
        <v>90</v>
      </c>
      <c r="H112">
        <v>102</v>
      </c>
    </row>
    <row r="113" spans="1:8" x14ac:dyDescent="0.45">
      <c r="A113" t="s">
        <v>159</v>
      </c>
      <c r="B113" t="s">
        <v>135</v>
      </c>
      <c r="C113" s="3">
        <v>5035</v>
      </c>
      <c r="D113" s="2">
        <v>184.23878036422849</v>
      </c>
      <c r="E113">
        <v>1688.4641180415831</v>
      </c>
      <c r="F113">
        <v>105</v>
      </c>
      <c r="G113">
        <v>51</v>
      </c>
      <c r="H113">
        <v>156</v>
      </c>
    </row>
    <row r="114" spans="1:8" x14ac:dyDescent="0.45">
      <c r="A114" t="s">
        <v>157</v>
      </c>
      <c r="B114" t="s">
        <v>136</v>
      </c>
      <c r="C114" s="3">
        <v>17595</v>
      </c>
      <c r="D114" s="2">
        <v>281.12660063977353</v>
      </c>
      <c r="E114">
        <v>214.00423264978471</v>
      </c>
      <c r="F114">
        <v>64</v>
      </c>
      <c r="G114">
        <v>11</v>
      </c>
      <c r="H114">
        <v>75</v>
      </c>
    </row>
    <row r="115" spans="1:8" x14ac:dyDescent="0.45">
      <c r="A115" t="s">
        <v>157</v>
      </c>
      <c r="B115" t="s">
        <v>137</v>
      </c>
      <c r="C115" s="3">
        <v>5215</v>
      </c>
      <c r="D115" s="2">
        <v>241.42390743802031</v>
      </c>
      <c r="E115">
        <v>344.83898697348411</v>
      </c>
      <c r="F115">
        <v>73</v>
      </c>
      <c r="G115">
        <v>17</v>
      </c>
      <c r="H115">
        <v>90</v>
      </c>
    </row>
    <row r="116" spans="1:8" x14ac:dyDescent="0.45">
      <c r="A116" t="s">
        <v>159</v>
      </c>
      <c r="B116" t="s">
        <v>138</v>
      </c>
      <c r="C116" s="3">
        <v>3635</v>
      </c>
      <c r="D116" s="2">
        <v>189.12599864532899</v>
      </c>
      <c r="E116">
        <v>5688.5758998435058</v>
      </c>
      <c r="F116">
        <v>118</v>
      </c>
      <c r="G116">
        <v>46</v>
      </c>
      <c r="H116">
        <v>164</v>
      </c>
    </row>
    <row r="117" spans="1:8" x14ac:dyDescent="0.45">
      <c r="A117" t="s">
        <v>156</v>
      </c>
      <c r="B117" t="s">
        <v>139</v>
      </c>
      <c r="C117" s="3">
        <v>4025</v>
      </c>
      <c r="D117" s="2">
        <v>133.88757397001709</v>
      </c>
      <c r="E117">
        <v>103.26073013674031</v>
      </c>
      <c r="F117">
        <v>42</v>
      </c>
      <c r="G117">
        <v>95</v>
      </c>
      <c r="H117">
        <v>137</v>
      </c>
    </row>
    <row r="118" spans="1:8" x14ac:dyDescent="0.45">
      <c r="A118" t="s">
        <v>156</v>
      </c>
      <c r="B118" t="s">
        <v>140</v>
      </c>
      <c r="C118" s="3">
        <v>4080</v>
      </c>
      <c r="D118" s="2">
        <v>190.55110950318101</v>
      </c>
      <c r="E118">
        <v>79.812206572769952</v>
      </c>
      <c r="F118">
        <v>35</v>
      </c>
      <c r="G118">
        <v>45</v>
      </c>
      <c r="H118">
        <v>80</v>
      </c>
    </row>
    <row r="119" spans="1:8" x14ac:dyDescent="0.45">
      <c r="A119" t="s">
        <v>155</v>
      </c>
      <c r="B119" t="s">
        <v>141</v>
      </c>
      <c r="C119" s="3">
        <v>4035</v>
      </c>
      <c r="D119" s="2">
        <v>178.316810376967</v>
      </c>
      <c r="E119">
        <v>947.18309859154931</v>
      </c>
      <c r="F119">
        <v>99</v>
      </c>
      <c r="G119">
        <v>59</v>
      </c>
      <c r="H119">
        <v>158</v>
      </c>
    </row>
    <row r="120" spans="1:8" x14ac:dyDescent="0.45">
      <c r="A120" t="s">
        <v>159</v>
      </c>
      <c r="B120" t="s">
        <v>142</v>
      </c>
      <c r="C120" s="3">
        <v>5130</v>
      </c>
      <c r="D120" s="2">
        <v>182.0468402287471</v>
      </c>
      <c r="E120">
        <v>688.12877263581493</v>
      </c>
      <c r="F120">
        <v>92</v>
      </c>
      <c r="G120">
        <v>54</v>
      </c>
      <c r="H120">
        <v>146</v>
      </c>
    </row>
    <row r="121" spans="1:8" x14ac:dyDescent="0.45">
      <c r="A121" t="s">
        <v>157</v>
      </c>
      <c r="B121" t="s">
        <v>143</v>
      </c>
      <c r="C121" s="3">
        <v>5710</v>
      </c>
      <c r="D121" s="2">
        <v>169.91421668032339</v>
      </c>
      <c r="E121">
        <v>116.5543988569096</v>
      </c>
      <c r="F121">
        <v>48</v>
      </c>
      <c r="G121">
        <v>68</v>
      </c>
      <c r="H121">
        <v>116</v>
      </c>
    </row>
    <row r="122" spans="1:8" x14ac:dyDescent="0.45">
      <c r="A122" t="s">
        <v>159</v>
      </c>
      <c r="B122" t="s">
        <v>337</v>
      </c>
      <c r="C122" s="3">
        <v>5640</v>
      </c>
      <c r="D122" s="2">
        <v>226.4719584886542</v>
      </c>
      <c r="E122">
        <v>588.41940532081378</v>
      </c>
      <c r="F122">
        <v>87</v>
      </c>
      <c r="G122">
        <v>24</v>
      </c>
      <c r="H122">
        <v>111</v>
      </c>
    </row>
    <row r="123" spans="1:8" x14ac:dyDescent="0.45">
      <c r="A123" t="s">
        <v>157</v>
      </c>
      <c r="B123" t="s">
        <v>145</v>
      </c>
      <c r="C123" s="3">
        <v>4210</v>
      </c>
      <c r="D123" s="2">
        <v>245.32160453325309</v>
      </c>
      <c r="E123">
        <v>395.30516431924877</v>
      </c>
      <c r="F123">
        <v>80</v>
      </c>
      <c r="G123">
        <v>16</v>
      </c>
      <c r="H123">
        <v>96</v>
      </c>
    </row>
    <row r="124" spans="1:8" x14ac:dyDescent="0.45">
      <c r="A124" t="s">
        <v>153</v>
      </c>
      <c r="B124" t="s">
        <v>146</v>
      </c>
      <c r="C124" s="3">
        <v>5625</v>
      </c>
      <c r="D124" s="2">
        <v>145.54438821148619</v>
      </c>
      <c r="E124">
        <v>24.07333701387908</v>
      </c>
      <c r="F124">
        <v>10</v>
      </c>
      <c r="G124">
        <v>89</v>
      </c>
      <c r="H124">
        <v>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&amp; Notes</vt:lpstr>
      <vt:lpstr>MRI (Brain)</vt:lpstr>
      <vt:lpstr>Private Sector</vt:lpstr>
      <vt:lpstr>Waiting Time</vt:lpstr>
      <vt:lpstr>Radiologist</vt:lpstr>
      <vt:lpstr>Scans per Radiologist</vt:lpstr>
      <vt:lpstr>Scan-to-wait ratio</vt:lpstr>
      <vt:lpstr>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 Min Aung</cp:lastModifiedBy>
  <dcterms:created xsi:type="dcterms:W3CDTF">2025-08-19T15:36:18Z</dcterms:created>
  <dcterms:modified xsi:type="dcterms:W3CDTF">2025-08-19T15:45:16Z</dcterms:modified>
</cp:coreProperties>
</file>